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8"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ohanfit/CloudStation/School/latex/Symbollist-maintain/symbollist-maintain-excel/Symbollist-maintain/"/>
    </mc:Choice>
  </mc:AlternateContent>
  <xr:revisionPtr revIDLastSave="0" documentId="13_ncr:1_{C87FF71A-DE14-C840-A180-1AE530706B0D}" xr6:coauthVersionLast="36" xr6:coauthVersionMax="36" xr10:uidLastSave="{00000000-0000-0000-0000-000000000000}"/>
  <bookViews>
    <workbookView xWindow="0" yWindow="460" windowWidth="28800" windowHeight="17540" xr2:uid="{C3287152-8E58-F540-9977-43335A6FB218}"/>
  </bookViews>
  <sheets>
    <sheet name="Introduction" sheetId="4" r:id="rId1"/>
    <sheet name="Units" sheetId="1" r:id="rId2"/>
    <sheet name="Symbols" sheetId="2" r:id="rId3"/>
    <sheet name="Equations" sheetId="3" r:id="rId4"/>
    <sheet name="To copy to preamble" sheetId="9" r:id="rId5"/>
    <sheet name="Code per Equation" sheetId="8" r:id="rId6"/>
    <sheet name="StepinBetween" sheetId="7" state="hidden" r:id="rId7"/>
  </sheets>
  <functionGroups builtInGroupCount="19"/>
  <definedNames>
    <definedName name="array">Symbols!$M$2:$M$1048576</definedName>
    <definedName name="code">Symbols!$D$2:$D$1048576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1" l="1"/>
  <c r="D182" i="1" l="1"/>
  <c r="D183" i="1"/>
  <c r="D184" i="1"/>
  <c r="D185" i="1"/>
  <c r="D186" i="1"/>
  <c r="D187" i="1"/>
  <c r="D188" i="1"/>
  <c r="D189" i="1"/>
  <c r="D190" i="1"/>
  <c r="D191" i="1"/>
  <c r="D192" i="1"/>
  <c r="D193" i="1"/>
  <c r="D194" i="1"/>
  <c r="D195" i="1"/>
  <c r="D196" i="1"/>
  <c r="D197" i="1"/>
  <c r="D198" i="1"/>
  <c r="D199" i="1"/>
  <c r="D200" i="1"/>
  <c r="D201"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1" i="2"/>
  <c r="E11" i="2"/>
  <c r="J11" i="2"/>
  <c r="K11" i="2"/>
  <c r="L11" i="2"/>
  <c r="M11" i="2"/>
  <c r="D12" i="2"/>
  <c r="E12" i="2"/>
  <c r="J12" i="2"/>
  <c r="K12" i="2"/>
  <c r="L12" i="2"/>
  <c r="M12" i="2"/>
  <c r="D13" i="2"/>
  <c r="E13" i="2"/>
  <c r="J13" i="2"/>
  <c r="K13" i="2"/>
  <c r="L13" i="2"/>
  <c r="M13" i="2"/>
  <c r="D14" i="2"/>
  <c r="E14" i="2"/>
  <c r="J14" i="2"/>
  <c r="K14" i="2"/>
  <c r="L14" i="2"/>
  <c r="M14" i="2"/>
  <c r="D15" i="2"/>
  <c r="E15" i="2"/>
  <c r="J15" i="2"/>
  <c r="K15" i="2"/>
  <c r="L15" i="2"/>
  <c r="M15" i="2"/>
  <c r="D16" i="2"/>
  <c r="E16" i="2"/>
  <c r="J16" i="2"/>
  <c r="K16" i="2"/>
  <c r="L16" i="2"/>
  <c r="M16" i="2"/>
  <c r="D17" i="2"/>
  <c r="E17" i="2"/>
  <c r="J17" i="2"/>
  <c r="K17" i="2"/>
  <c r="L17" i="2"/>
  <c r="M17" i="2"/>
  <c r="D18" i="2"/>
  <c r="E18" i="2"/>
  <c r="J18" i="2"/>
  <c r="K18" i="2"/>
  <c r="L18" i="2"/>
  <c r="M18" i="2"/>
  <c r="D19" i="2"/>
  <c r="E19" i="2"/>
  <c r="J19" i="2"/>
  <c r="K19" i="2"/>
  <c r="L19" i="2"/>
  <c r="M19" i="2"/>
  <c r="D20" i="2"/>
  <c r="E20" i="2"/>
  <c r="J20" i="2"/>
  <c r="K20" i="2"/>
  <c r="L20" i="2"/>
  <c r="M20" i="2"/>
  <c r="D21" i="2"/>
  <c r="E21" i="2"/>
  <c r="J21" i="2"/>
  <c r="K21" i="2"/>
  <c r="L21" i="2"/>
  <c r="M21" i="2"/>
  <c r="D22" i="2"/>
  <c r="E22" i="2"/>
  <c r="J22" i="2"/>
  <c r="K22" i="2"/>
  <c r="L22" i="2"/>
  <c r="M22" i="2"/>
  <c r="D23" i="2"/>
  <c r="E23" i="2"/>
  <c r="J23" i="2"/>
  <c r="K23" i="2"/>
  <c r="L23" i="2"/>
  <c r="M23" i="2"/>
  <c r="D24" i="2"/>
  <c r="E24" i="2"/>
  <c r="J24" i="2"/>
  <c r="K24" i="2"/>
  <c r="L24" i="2"/>
  <c r="M24" i="2"/>
  <c r="D25" i="2"/>
  <c r="E25" i="2"/>
  <c r="J25" i="2"/>
  <c r="K25" i="2"/>
  <c r="L25" i="2"/>
  <c r="M25" i="2"/>
  <c r="D26" i="2"/>
  <c r="E26" i="2"/>
  <c r="J26" i="2"/>
  <c r="K26" i="2"/>
  <c r="L26" i="2"/>
  <c r="M26" i="2"/>
  <c r="D27" i="2"/>
  <c r="E27" i="2"/>
  <c r="J27" i="2"/>
  <c r="K27" i="2"/>
  <c r="L27" i="2"/>
  <c r="M27" i="2"/>
  <c r="D28" i="2"/>
  <c r="E28" i="2"/>
  <c r="J28" i="2"/>
  <c r="K28" i="2"/>
  <c r="L28" i="2"/>
  <c r="M28" i="2"/>
  <c r="D29" i="2"/>
  <c r="E29" i="2"/>
  <c r="J29" i="2"/>
  <c r="K29" i="2"/>
  <c r="L29" i="2"/>
  <c r="M29" i="2"/>
  <c r="D30" i="2"/>
  <c r="E30" i="2"/>
  <c r="J30" i="2"/>
  <c r="K30" i="2"/>
  <c r="L30" i="2"/>
  <c r="M30" i="2"/>
  <c r="D31" i="2"/>
  <c r="E31" i="2"/>
  <c r="J31" i="2"/>
  <c r="K31" i="2"/>
  <c r="L31" i="2"/>
  <c r="M31" i="2"/>
  <c r="D32" i="2"/>
  <c r="E32" i="2"/>
  <c r="J32" i="2"/>
  <c r="K32" i="2"/>
  <c r="L32" i="2"/>
  <c r="M32" i="2"/>
  <c r="D33" i="2"/>
  <c r="E33" i="2"/>
  <c r="J33" i="2"/>
  <c r="K33" i="2"/>
  <c r="L33" i="2"/>
  <c r="M33" i="2"/>
  <c r="D34" i="2"/>
  <c r="E34" i="2"/>
  <c r="J34" i="2"/>
  <c r="K34" i="2"/>
  <c r="L34" i="2"/>
  <c r="M34" i="2"/>
  <c r="D35" i="2"/>
  <c r="E35" i="2"/>
  <c r="J35" i="2"/>
  <c r="K35" i="2"/>
  <c r="L35" i="2"/>
  <c r="M35" i="2"/>
  <c r="D36" i="2"/>
  <c r="E36" i="2"/>
  <c r="J36" i="2"/>
  <c r="K36" i="2"/>
  <c r="L36" i="2"/>
  <c r="M36" i="2"/>
  <c r="D37" i="2"/>
  <c r="E37" i="2"/>
  <c r="J37" i="2"/>
  <c r="K37" i="2"/>
  <c r="L37" i="2"/>
  <c r="M37" i="2"/>
  <c r="D38" i="2"/>
  <c r="E38" i="2"/>
  <c r="J38" i="2"/>
  <c r="K38" i="2"/>
  <c r="L38" i="2"/>
  <c r="M38" i="2"/>
  <c r="D39" i="2"/>
  <c r="E39" i="2"/>
  <c r="J39" i="2"/>
  <c r="K39" i="2"/>
  <c r="L39" i="2"/>
  <c r="M39" i="2"/>
  <c r="D40" i="2"/>
  <c r="E40" i="2"/>
  <c r="J40" i="2"/>
  <c r="K40" i="2"/>
  <c r="L40" i="2"/>
  <c r="M40" i="2"/>
  <c r="D41" i="2"/>
  <c r="E41" i="2"/>
  <c r="J41" i="2"/>
  <c r="K41" i="2"/>
  <c r="L41" i="2"/>
  <c r="M41" i="2"/>
  <c r="D42" i="2"/>
  <c r="E42" i="2"/>
  <c r="J42" i="2"/>
  <c r="K42" i="2"/>
  <c r="L42" i="2"/>
  <c r="M42" i="2"/>
  <c r="D43" i="2"/>
  <c r="E43" i="2"/>
  <c r="J43" i="2"/>
  <c r="K43" i="2"/>
  <c r="L43" i="2"/>
  <c r="M43" i="2"/>
  <c r="D44" i="2"/>
  <c r="E44" i="2"/>
  <c r="J44" i="2"/>
  <c r="K44" i="2"/>
  <c r="L44" i="2"/>
  <c r="M44" i="2"/>
  <c r="D45" i="2"/>
  <c r="E45" i="2"/>
  <c r="J45" i="2"/>
  <c r="K45" i="2"/>
  <c r="L45" i="2"/>
  <c r="M45" i="2"/>
  <c r="D46" i="2"/>
  <c r="E46" i="2"/>
  <c r="J46" i="2"/>
  <c r="K46" i="2"/>
  <c r="L46" i="2"/>
  <c r="M46" i="2"/>
  <c r="D47" i="2"/>
  <c r="E47" i="2"/>
  <c r="J47" i="2"/>
  <c r="K47" i="2"/>
  <c r="L47" i="2"/>
  <c r="M47" i="2"/>
  <c r="D48" i="2"/>
  <c r="E48" i="2"/>
  <c r="J48" i="2"/>
  <c r="K48" i="2"/>
  <c r="L48" i="2"/>
  <c r="M48" i="2"/>
  <c r="D49" i="2"/>
  <c r="E49" i="2"/>
  <c r="J49" i="2"/>
  <c r="K49" i="2"/>
  <c r="L49" i="2"/>
  <c r="M49" i="2"/>
  <c r="D50" i="2"/>
  <c r="E50" i="2"/>
  <c r="J50" i="2"/>
  <c r="K50" i="2"/>
  <c r="L50" i="2"/>
  <c r="M50" i="2"/>
  <c r="D51" i="2"/>
  <c r="E51" i="2"/>
  <c r="J51" i="2"/>
  <c r="K51" i="2"/>
  <c r="L51" i="2"/>
  <c r="M51" i="2"/>
  <c r="D52" i="2"/>
  <c r="E52" i="2"/>
  <c r="J52" i="2"/>
  <c r="K52" i="2"/>
  <c r="L52" i="2"/>
  <c r="M52" i="2"/>
  <c r="D53" i="2"/>
  <c r="E53" i="2"/>
  <c r="J53" i="2"/>
  <c r="K53" i="2"/>
  <c r="L53" i="2"/>
  <c r="M53" i="2"/>
  <c r="D54" i="2"/>
  <c r="E54" i="2"/>
  <c r="J54" i="2"/>
  <c r="K54" i="2"/>
  <c r="L54" i="2"/>
  <c r="M54" i="2"/>
  <c r="D55" i="2"/>
  <c r="E55" i="2"/>
  <c r="J55" i="2"/>
  <c r="K55" i="2"/>
  <c r="L55" i="2"/>
  <c r="M55" i="2"/>
  <c r="D56" i="2"/>
  <c r="E56" i="2"/>
  <c r="J56" i="2"/>
  <c r="K56" i="2"/>
  <c r="L56" i="2"/>
  <c r="M56" i="2"/>
  <c r="D57" i="2"/>
  <c r="E57" i="2"/>
  <c r="J57" i="2"/>
  <c r="K57" i="2"/>
  <c r="L57" i="2"/>
  <c r="M57" i="2"/>
  <c r="D58" i="2"/>
  <c r="E58" i="2"/>
  <c r="J58" i="2"/>
  <c r="K58" i="2"/>
  <c r="L58" i="2"/>
  <c r="M58" i="2"/>
  <c r="D59" i="2"/>
  <c r="E59" i="2"/>
  <c r="J59" i="2"/>
  <c r="K59" i="2"/>
  <c r="L59" i="2"/>
  <c r="M59" i="2"/>
  <c r="D60" i="2"/>
  <c r="E60" i="2"/>
  <c r="J60" i="2"/>
  <c r="K60" i="2"/>
  <c r="L60" i="2"/>
  <c r="M60" i="2"/>
  <c r="D61" i="2"/>
  <c r="E61" i="2"/>
  <c r="J61" i="2"/>
  <c r="K61" i="2"/>
  <c r="L61" i="2"/>
  <c r="M61" i="2"/>
  <c r="D62" i="2"/>
  <c r="E62" i="2"/>
  <c r="J62" i="2"/>
  <c r="K62" i="2"/>
  <c r="L62" i="2"/>
  <c r="M62" i="2"/>
  <c r="D63" i="2"/>
  <c r="E63" i="2"/>
  <c r="J63" i="2"/>
  <c r="K63" i="2"/>
  <c r="L63" i="2"/>
  <c r="M63" i="2"/>
  <c r="D64" i="2"/>
  <c r="E64" i="2"/>
  <c r="J64" i="2"/>
  <c r="K64" i="2"/>
  <c r="L64" i="2"/>
  <c r="M64" i="2"/>
  <c r="D65" i="2"/>
  <c r="E65" i="2"/>
  <c r="J65" i="2"/>
  <c r="K65" i="2"/>
  <c r="L65" i="2"/>
  <c r="M65" i="2"/>
  <c r="D66" i="2"/>
  <c r="E66" i="2"/>
  <c r="J66" i="2"/>
  <c r="K66" i="2"/>
  <c r="L66" i="2"/>
  <c r="M66" i="2"/>
  <c r="D67" i="2"/>
  <c r="E67" i="2"/>
  <c r="J67" i="2"/>
  <c r="K67" i="2"/>
  <c r="L67" i="2"/>
  <c r="M67" i="2"/>
  <c r="D68" i="2"/>
  <c r="E68" i="2"/>
  <c r="J68" i="2"/>
  <c r="K68" i="2"/>
  <c r="L68" i="2"/>
  <c r="M68" i="2"/>
  <c r="D69" i="2"/>
  <c r="E69" i="2"/>
  <c r="J69" i="2"/>
  <c r="K69" i="2"/>
  <c r="L69" i="2"/>
  <c r="M69" i="2"/>
  <c r="D70" i="2"/>
  <c r="E70" i="2"/>
  <c r="J70" i="2"/>
  <c r="K70" i="2"/>
  <c r="L70" i="2"/>
  <c r="M70" i="2"/>
  <c r="D71" i="2"/>
  <c r="E71" i="2"/>
  <c r="J71" i="2"/>
  <c r="K71" i="2"/>
  <c r="L71" i="2"/>
  <c r="M71" i="2"/>
  <c r="D72" i="2"/>
  <c r="E72" i="2"/>
  <c r="J72" i="2"/>
  <c r="K72" i="2"/>
  <c r="L72" i="2"/>
  <c r="M72" i="2"/>
  <c r="D73" i="2"/>
  <c r="E73" i="2"/>
  <c r="J73" i="2"/>
  <c r="K73" i="2"/>
  <c r="L73" i="2"/>
  <c r="M73" i="2"/>
  <c r="D74" i="2"/>
  <c r="E74" i="2"/>
  <c r="J74" i="2"/>
  <c r="K74" i="2"/>
  <c r="L74" i="2"/>
  <c r="M74" i="2"/>
  <c r="D75" i="2"/>
  <c r="E75" i="2"/>
  <c r="J75" i="2"/>
  <c r="K75" i="2"/>
  <c r="L75" i="2"/>
  <c r="M75" i="2"/>
  <c r="D76" i="2"/>
  <c r="E76" i="2"/>
  <c r="J76" i="2"/>
  <c r="K76" i="2"/>
  <c r="L76" i="2"/>
  <c r="M76" i="2"/>
  <c r="D77" i="2"/>
  <c r="E77" i="2"/>
  <c r="J77" i="2"/>
  <c r="K77" i="2"/>
  <c r="L77" i="2"/>
  <c r="M77" i="2"/>
  <c r="D78" i="2"/>
  <c r="E78" i="2"/>
  <c r="J78" i="2"/>
  <c r="K78" i="2"/>
  <c r="L78" i="2"/>
  <c r="M78" i="2"/>
  <c r="D79" i="2"/>
  <c r="E79" i="2"/>
  <c r="J79" i="2"/>
  <c r="K79" i="2"/>
  <c r="L79" i="2"/>
  <c r="M79" i="2"/>
  <c r="D80" i="2"/>
  <c r="E80" i="2"/>
  <c r="J80" i="2"/>
  <c r="K80" i="2"/>
  <c r="L80" i="2"/>
  <c r="M80" i="2"/>
  <c r="D81" i="2"/>
  <c r="E81" i="2"/>
  <c r="J81" i="2"/>
  <c r="K81" i="2"/>
  <c r="L81" i="2"/>
  <c r="M81" i="2"/>
  <c r="D82" i="2"/>
  <c r="E82" i="2"/>
  <c r="J82" i="2"/>
  <c r="K82" i="2"/>
  <c r="L82" i="2"/>
  <c r="M82" i="2"/>
  <c r="D83" i="2"/>
  <c r="E83" i="2"/>
  <c r="J83" i="2"/>
  <c r="K83" i="2"/>
  <c r="L83" i="2"/>
  <c r="M83" i="2"/>
  <c r="D84" i="2"/>
  <c r="E84" i="2"/>
  <c r="J84" i="2"/>
  <c r="K84" i="2"/>
  <c r="L84" i="2"/>
  <c r="M84" i="2"/>
  <c r="D85" i="2"/>
  <c r="E85" i="2"/>
  <c r="J85" i="2"/>
  <c r="K85" i="2"/>
  <c r="L85" i="2"/>
  <c r="M85" i="2"/>
  <c r="D86" i="2"/>
  <c r="E86" i="2"/>
  <c r="J86" i="2"/>
  <c r="K86" i="2"/>
  <c r="L86" i="2"/>
  <c r="M86" i="2"/>
  <c r="D87" i="2"/>
  <c r="E87" i="2"/>
  <c r="J87" i="2"/>
  <c r="K87" i="2"/>
  <c r="L87" i="2"/>
  <c r="M87" i="2"/>
  <c r="D88" i="2"/>
  <c r="E88" i="2"/>
  <c r="J88" i="2"/>
  <c r="K88" i="2"/>
  <c r="L88" i="2"/>
  <c r="M88" i="2"/>
  <c r="D89" i="2"/>
  <c r="E89" i="2"/>
  <c r="J89" i="2"/>
  <c r="K89" i="2"/>
  <c r="L89" i="2"/>
  <c r="M89" i="2"/>
  <c r="D90" i="2"/>
  <c r="E90" i="2"/>
  <c r="J90" i="2"/>
  <c r="K90" i="2"/>
  <c r="L90" i="2"/>
  <c r="M90" i="2"/>
  <c r="D91" i="2"/>
  <c r="E91" i="2"/>
  <c r="J91" i="2"/>
  <c r="K91" i="2"/>
  <c r="L91" i="2"/>
  <c r="M91" i="2"/>
  <c r="D92" i="2"/>
  <c r="E92" i="2"/>
  <c r="J92" i="2"/>
  <c r="K92" i="2"/>
  <c r="L92" i="2"/>
  <c r="M92" i="2"/>
  <c r="D93" i="2"/>
  <c r="E93" i="2"/>
  <c r="J93" i="2"/>
  <c r="K93" i="2"/>
  <c r="L93" i="2"/>
  <c r="M93" i="2"/>
  <c r="D94" i="2"/>
  <c r="E94" i="2"/>
  <c r="J94" i="2"/>
  <c r="K94" i="2"/>
  <c r="L94" i="2"/>
  <c r="M94" i="2"/>
  <c r="D95" i="2"/>
  <c r="E95" i="2"/>
  <c r="J95" i="2"/>
  <c r="K95" i="2"/>
  <c r="L95" i="2"/>
  <c r="M95" i="2"/>
  <c r="D96" i="2"/>
  <c r="E96" i="2"/>
  <c r="J96" i="2"/>
  <c r="K96" i="2"/>
  <c r="L96" i="2"/>
  <c r="M96" i="2"/>
  <c r="D97" i="2"/>
  <c r="E97" i="2"/>
  <c r="J97" i="2"/>
  <c r="K97" i="2"/>
  <c r="L97" i="2"/>
  <c r="M97" i="2"/>
  <c r="D98" i="2"/>
  <c r="E98" i="2"/>
  <c r="J98" i="2"/>
  <c r="K98" i="2"/>
  <c r="L98" i="2"/>
  <c r="M98" i="2"/>
  <c r="D99" i="2"/>
  <c r="E99" i="2"/>
  <c r="J99" i="2"/>
  <c r="K99" i="2"/>
  <c r="L99" i="2"/>
  <c r="M99" i="2"/>
  <c r="D100" i="2"/>
  <c r="E100" i="2"/>
  <c r="J100" i="2"/>
  <c r="K100" i="2"/>
  <c r="L100" i="2"/>
  <c r="M100" i="2"/>
  <c r="D101" i="2"/>
  <c r="E101" i="2"/>
  <c r="J101" i="2"/>
  <c r="K101" i="2"/>
  <c r="L101" i="2"/>
  <c r="M101" i="2"/>
  <c r="D102" i="2"/>
  <c r="E102" i="2"/>
  <c r="J102" i="2"/>
  <c r="K102" i="2"/>
  <c r="L102" i="2"/>
  <c r="M102" i="2"/>
  <c r="D103" i="2"/>
  <c r="E103" i="2"/>
  <c r="J103" i="2"/>
  <c r="K103" i="2"/>
  <c r="L103" i="2"/>
  <c r="M103" i="2"/>
  <c r="D104" i="2"/>
  <c r="E104" i="2"/>
  <c r="J104" i="2"/>
  <c r="K104" i="2"/>
  <c r="L104" i="2"/>
  <c r="M104" i="2"/>
  <c r="D105" i="2"/>
  <c r="E105" i="2"/>
  <c r="J105" i="2"/>
  <c r="K105" i="2"/>
  <c r="L105" i="2"/>
  <c r="M105" i="2"/>
  <c r="D106" i="2"/>
  <c r="E106" i="2"/>
  <c r="J106" i="2"/>
  <c r="K106" i="2"/>
  <c r="L106" i="2"/>
  <c r="M106" i="2"/>
  <c r="D107" i="2"/>
  <c r="E107" i="2"/>
  <c r="J107" i="2"/>
  <c r="K107" i="2"/>
  <c r="L107" i="2"/>
  <c r="M107" i="2"/>
  <c r="D108" i="2"/>
  <c r="E108" i="2"/>
  <c r="J108" i="2"/>
  <c r="K108" i="2"/>
  <c r="L108" i="2"/>
  <c r="M108" i="2"/>
  <c r="D109" i="2"/>
  <c r="E109" i="2"/>
  <c r="J109" i="2"/>
  <c r="K109" i="2"/>
  <c r="L109" i="2"/>
  <c r="M109" i="2"/>
  <c r="D110" i="2"/>
  <c r="E110" i="2"/>
  <c r="J110" i="2"/>
  <c r="K110" i="2"/>
  <c r="L110" i="2"/>
  <c r="M110" i="2"/>
  <c r="D111" i="2"/>
  <c r="E111" i="2"/>
  <c r="J111" i="2"/>
  <c r="K111" i="2"/>
  <c r="L111" i="2"/>
  <c r="M111" i="2"/>
  <c r="D112" i="2"/>
  <c r="E112" i="2"/>
  <c r="J112" i="2"/>
  <c r="K112" i="2"/>
  <c r="L112" i="2"/>
  <c r="M112" i="2"/>
  <c r="D113" i="2"/>
  <c r="E113" i="2"/>
  <c r="J113" i="2"/>
  <c r="K113" i="2"/>
  <c r="L113" i="2"/>
  <c r="M113" i="2"/>
  <c r="D114" i="2"/>
  <c r="E114" i="2"/>
  <c r="J114" i="2"/>
  <c r="K114" i="2"/>
  <c r="L114" i="2"/>
  <c r="M114" i="2"/>
  <c r="D115" i="2"/>
  <c r="E115" i="2"/>
  <c r="J115" i="2"/>
  <c r="K115" i="2"/>
  <c r="L115" i="2"/>
  <c r="M115" i="2"/>
  <c r="D116" i="2"/>
  <c r="E116" i="2"/>
  <c r="J116" i="2"/>
  <c r="K116" i="2"/>
  <c r="L116" i="2"/>
  <c r="M116" i="2"/>
  <c r="D117" i="2"/>
  <c r="E117" i="2"/>
  <c r="J117" i="2"/>
  <c r="K117" i="2"/>
  <c r="L117" i="2"/>
  <c r="M117" i="2"/>
  <c r="D118" i="2"/>
  <c r="E118" i="2"/>
  <c r="J118" i="2"/>
  <c r="K118" i="2"/>
  <c r="L118" i="2"/>
  <c r="M118" i="2"/>
  <c r="D119" i="2"/>
  <c r="E119" i="2"/>
  <c r="J119" i="2"/>
  <c r="K119" i="2"/>
  <c r="L119" i="2"/>
  <c r="M119" i="2"/>
  <c r="D120" i="2"/>
  <c r="E120" i="2"/>
  <c r="J120" i="2"/>
  <c r="K120" i="2"/>
  <c r="L120" i="2"/>
  <c r="M120" i="2"/>
  <c r="D121" i="2"/>
  <c r="E121" i="2"/>
  <c r="J121" i="2"/>
  <c r="K121" i="2"/>
  <c r="L121" i="2"/>
  <c r="M121" i="2"/>
  <c r="D122" i="2"/>
  <c r="E122" i="2"/>
  <c r="J122" i="2"/>
  <c r="K122" i="2"/>
  <c r="L122" i="2"/>
  <c r="M122" i="2"/>
  <c r="D123" i="2"/>
  <c r="E123" i="2"/>
  <c r="J123" i="2"/>
  <c r="K123" i="2"/>
  <c r="L123" i="2"/>
  <c r="M123" i="2"/>
  <c r="D124" i="2"/>
  <c r="E124" i="2"/>
  <c r="J124" i="2"/>
  <c r="K124" i="2"/>
  <c r="L124" i="2"/>
  <c r="M124" i="2"/>
  <c r="D125" i="2"/>
  <c r="E125" i="2"/>
  <c r="J125" i="2"/>
  <c r="K125" i="2"/>
  <c r="L125" i="2"/>
  <c r="M125" i="2"/>
  <c r="D126" i="2"/>
  <c r="E126" i="2"/>
  <c r="J126" i="2"/>
  <c r="K126" i="2"/>
  <c r="L126" i="2"/>
  <c r="M126" i="2"/>
  <c r="D127" i="2"/>
  <c r="E127" i="2"/>
  <c r="J127" i="2"/>
  <c r="K127" i="2"/>
  <c r="L127" i="2"/>
  <c r="M127" i="2"/>
  <c r="D128" i="2"/>
  <c r="E128" i="2"/>
  <c r="J128" i="2"/>
  <c r="K128" i="2"/>
  <c r="L128" i="2"/>
  <c r="M128" i="2"/>
  <c r="D129" i="2"/>
  <c r="E129" i="2"/>
  <c r="J129" i="2"/>
  <c r="K129" i="2"/>
  <c r="L129" i="2"/>
  <c r="M129" i="2"/>
  <c r="D130" i="2"/>
  <c r="E130" i="2"/>
  <c r="J130" i="2"/>
  <c r="K130" i="2"/>
  <c r="L130" i="2"/>
  <c r="M130" i="2"/>
  <c r="D131" i="2"/>
  <c r="E131" i="2"/>
  <c r="J131" i="2"/>
  <c r="K131" i="2"/>
  <c r="L131" i="2"/>
  <c r="M131" i="2"/>
  <c r="D132" i="2"/>
  <c r="E132" i="2"/>
  <c r="J132" i="2"/>
  <c r="K132" i="2"/>
  <c r="L132" i="2"/>
  <c r="M132" i="2"/>
  <c r="D133" i="2"/>
  <c r="E133" i="2"/>
  <c r="J133" i="2"/>
  <c r="K133" i="2"/>
  <c r="L133" i="2"/>
  <c r="M133" i="2"/>
  <c r="D134" i="2"/>
  <c r="E134" i="2"/>
  <c r="J134" i="2"/>
  <c r="K134" i="2"/>
  <c r="L134" i="2"/>
  <c r="M134" i="2"/>
  <c r="D135" i="2"/>
  <c r="E135" i="2"/>
  <c r="J135" i="2"/>
  <c r="K135" i="2"/>
  <c r="L135" i="2"/>
  <c r="M135" i="2"/>
  <c r="D136" i="2"/>
  <c r="E136" i="2"/>
  <c r="J136" i="2"/>
  <c r="K136" i="2"/>
  <c r="L136" i="2"/>
  <c r="M136" i="2"/>
  <c r="D137" i="2"/>
  <c r="E137" i="2"/>
  <c r="J137" i="2"/>
  <c r="K137" i="2"/>
  <c r="L137" i="2"/>
  <c r="M137" i="2"/>
  <c r="D138" i="2"/>
  <c r="E138" i="2"/>
  <c r="J138" i="2"/>
  <c r="K138" i="2"/>
  <c r="L138" i="2"/>
  <c r="M138" i="2"/>
  <c r="D139" i="2"/>
  <c r="E139" i="2"/>
  <c r="J139" i="2"/>
  <c r="K139" i="2"/>
  <c r="L139" i="2"/>
  <c r="M139" i="2"/>
  <c r="D140" i="2"/>
  <c r="E140" i="2"/>
  <c r="J140" i="2"/>
  <c r="K140" i="2"/>
  <c r="L140" i="2"/>
  <c r="M140" i="2"/>
  <c r="D141" i="2"/>
  <c r="E141" i="2"/>
  <c r="J141" i="2"/>
  <c r="K141" i="2"/>
  <c r="L141" i="2"/>
  <c r="M141" i="2"/>
  <c r="D142" i="2"/>
  <c r="E142" i="2"/>
  <c r="J142" i="2"/>
  <c r="K142" i="2"/>
  <c r="L142" i="2"/>
  <c r="M142" i="2"/>
  <c r="D143" i="2"/>
  <c r="E143" i="2"/>
  <c r="J143" i="2"/>
  <c r="K143" i="2"/>
  <c r="L143" i="2"/>
  <c r="M143" i="2"/>
  <c r="D144" i="2"/>
  <c r="E144" i="2"/>
  <c r="J144" i="2"/>
  <c r="K144" i="2"/>
  <c r="L144" i="2"/>
  <c r="M144" i="2"/>
  <c r="D145" i="2"/>
  <c r="E145" i="2"/>
  <c r="J145" i="2"/>
  <c r="K145" i="2"/>
  <c r="L145" i="2"/>
  <c r="M145" i="2"/>
  <c r="D146" i="2"/>
  <c r="E146" i="2"/>
  <c r="J146" i="2"/>
  <c r="K146" i="2"/>
  <c r="L146" i="2"/>
  <c r="M146" i="2"/>
  <c r="D147" i="2"/>
  <c r="E147" i="2"/>
  <c r="J147" i="2"/>
  <c r="K147" i="2"/>
  <c r="L147" i="2"/>
  <c r="M147" i="2"/>
  <c r="D148" i="2"/>
  <c r="E148" i="2"/>
  <c r="J148" i="2"/>
  <c r="K148" i="2"/>
  <c r="L148" i="2"/>
  <c r="M148" i="2"/>
  <c r="D149" i="2"/>
  <c r="E149" i="2"/>
  <c r="J149" i="2"/>
  <c r="K149" i="2"/>
  <c r="L149" i="2"/>
  <c r="M149" i="2"/>
  <c r="D150" i="2"/>
  <c r="E150" i="2"/>
  <c r="J150" i="2"/>
  <c r="K150" i="2"/>
  <c r="L150" i="2"/>
  <c r="M150" i="2"/>
  <c r="D151" i="2"/>
  <c r="E151" i="2"/>
  <c r="J151" i="2"/>
  <c r="K151" i="2"/>
  <c r="L151" i="2"/>
  <c r="M151" i="2"/>
  <c r="D152" i="2"/>
  <c r="E152" i="2"/>
  <c r="J152" i="2"/>
  <c r="K152" i="2"/>
  <c r="L152" i="2"/>
  <c r="M152" i="2"/>
  <c r="D153" i="2"/>
  <c r="E153" i="2"/>
  <c r="J153" i="2"/>
  <c r="K153" i="2"/>
  <c r="L153" i="2"/>
  <c r="M153" i="2"/>
  <c r="D154" i="2"/>
  <c r="E154" i="2"/>
  <c r="J154" i="2"/>
  <c r="K154" i="2"/>
  <c r="L154" i="2"/>
  <c r="M154" i="2"/>
  <c r="D155" i="2"/>
  <c r="E155" i="2"/>
  <c r="J155" i="2"/>
  <c r="K155" i="2"/>
  <c r="L155" i="2"/>
  <c r="M155" i="2"/>
  <c r="D156" i="2"/>
  <c r="E156" i="2"/>
  <c r="J156" i="2"/>
  <c r="K156" i="2"/>
  <c r="L156" i="2"/>
  <c r="M156" i="2"/>
  <c r="D157" i="2"/>
  <c r="E157" i="2"/>
  <c r="J157" i="2"/>
  <c r="K157" i="2"/>
  <c r="L157" i="2"/>
  <c r="M157" i="2"/>
  <c r="D158" i="2"/>
  <c r="E158" i="2"/>
  <c r="J158" i="2"/>
  <c r="K158" i="2"/>
  <c r="L158" i="2"/>
  <c r="M158" i="2"/>
  <c r="D159" i="2"/>
  <c r="E159" i="2"/>
  <c r="J159" i="2"/>
  <c r="K159" i="2"/>
  <c r="L159" i="2"/>
  <c r="M159" i="2"/>
  <c r="D160" i="2"/>
  <c r="E160" i="2"/>
  <c r="J160" i="2"/>
  <c r="K160" i="2"/>
  <c r="L160" i="2"/>
  <c r="M160" i="2"/>
  <c r="D161" i="2"/>
  <c r="E161" i="2"/>
  <c r="J161" i="2"/>
  <c r="K161" i="2"/>
  <c r="L161" i="2"/>
  <c r="M161" i="2"/>
  <c r="D162" i="2"/>
  <c r="E162" i="2"/>
  <c r="J162" i="2"/>
  <c r="K162" i="2"/>
  <c r="L162" i="2"/>
  <c r="M162" i="2"/>
  <c r="D163" i="2"/>
  <c r="E163" i="2"/>
  <c r="J163" i="2"/>
  <c r="K163" i="2"/>
  <c r="L163" i="2"/>
  <c r="M163" i="2"/>
  <c r="D164" i="2"/>
  <c r="E164" i="2"/>
  <c r="J164" i="2"/>
  <c r="K164" i="2"/>
  <c r="L164" i="2"/>
  <c r="M164" i="2"/>
  <c r="D165" i="2"/>
  <c r="E165" i="2"/>
  <c r="J165" i="2"/>
  <c r="K165" i="2"/>
  <c r="L165" i="2"/>
  <c r="M165" i="2"/>
  <c r="D166" i="2"/>
  <c r="E166" i="2"/>
  <c r="J166" i="2"/>
  <c r="K166" i="2"/>
  <c r="L166" i="2"/>
  <c r="M166" i="2"/>
  <c r="D167" i="2"/>
  <c r="E167" i="2"/>
  <c r="J167" i="2"/>
  <c r="K167" i="2"/>
  <c r="L167" i="2"/>
  <c r="M167" i="2"/>
  <c r="D168" i="2"/>
  <c r="E168" i="2"/>
  <c r="J168" i="2"/>
  <c r="K168" i="2"/>
  <c r="L168" i="2"/>
  <c r="M168" i="2"/>
  <c r="D169" i="2"/>
  <c r="E169" i="2"/>
  <c r="J169" i="2"/>
  <c r="K169" i="2"/>
  <c r="L169" i="2"/>
  <c r="M169" i="2"/>
  <c r="D170" i="2"/>
  <c r="E170" i="2"/>
  <c r="J170" i="2"/>
  <c r="K170" i="2"/>
  <c r="L170" i="2"/>
  <c r="M170" i="2"/>
  <c r="D171" i="2"/>
  <c r="E171" i="2"/>
  <c r="J171" i="2"/>
  <c r="K171" i="2"/>
  <c r="L171" i="2"/>
  <c r="M171" i="2"/>
  <c r="D172" i="2"/>
  <c r="E172" i="2"/>
  <c r="J172" i="2"/>
  <c r="K172" i="2"/>
  <c r="L172" i="2"/>
  <c r="M172" i="2"/>
  <c r="D173" i="2"/>
  <c r="E173" i="2"/>
  <c r="J173" i="2"/>
  <c r="K173" i="2"/>
  <c r="L173" i="2"/>
  <c r="M173" i="2"/>
  <c r="D174" i="2"/>
  <c r="E174" i="2"/>
  <c r="J174" i="2"/>
  <c r="K174" i="2"/>
  <c r="L174" i="2"/>
  <c r="M174" i="2"/>
  <c r="D175" i="2"/>
  <c r="E175" i="2"/>
  <c r="J175" i="2"/>
  <c r="K175" i="2"/>
  <c r="L175" i="2"/>
  <c r="M175" i="2"/>
  <c r="D176" i="2"/>
  <c r="E176" i="2"/>
  <c r="J176" i="2"/>
  <c r="K176" i="2"/>
  <c r="L176" i="2"/>
  <c r="M176" i="2"/>
  <c r="D177" i="2"/>
  <c r="E177" i="2"/>
  <c r="J177" i="2"/>
  <c r="K177" i="2"/>
  <c r="L177" i="2"/>
  <c r="M177" i="2"/>
  <c r="D178" i="2"/>
  <c r="E178" i="2"/>
  <c r="J178" i="2"/>
  <c r="K178" i="2"/>
  <c r="L178" i="2"/>
  <c r="M178" i="2"/>
  <c r="D179" i="2"/>
  <c r="E179" i="2"/>
  <c r="J179" i="2"/>
  <c r="K179" i="2"/>
  <c r="L179" i="2"/>
  <c r="M179" i="2"/>
  <c r="D180" i="2"/>
  <c r="E180" i="2"/>
  <c r="J180" i="2"/>
  <c r="K180" i="2"/>
  <c r="L180" i="2"/>
  <c r="M180" i="2"/>
  <c r="D181" i="2"/>
  <c r="E181" i="2"/>
  <c r="J181" i="2"/>
  <c r="K181" i="2"/>
  <c r="L181" i="2"/>
  <c r="M181" i="2"/>
  <c r="D182" i="2"/>
  <c r="E182" i="2"/>
  <c r="J182" i="2"/>
  <c r="K182" i="2"/>
  <c r="L182" i="2"/>
  <c r="M182" i="2"/>
  <c r="D183" i="2"/>
  <c r="E183" i="2"/>
  <c r="J183" i="2"/>
  <c r="K183" i="2"/>
  <c r="L183" i="2"/>
  <c r="M183" i="2"/>
  <c r="D184" i="2"/>
  <c r="E184" i="2"/>
  <c r="J184" i="2"/>
  <c r="K184" i="2"/>
  <c r="L184" i="2"/>
  <c r="M184" i="2"/>
  <c r="D185" i="2"/>
  <c r="E185" i="2"/>
  <c r="J185" i="2"/>
  <c r="K185" i="2"/>
  <c r="L185" i="2"/>
  <c r="M185" i="2"/>
  <c r="D186" i="2"/>
  <c r="E186" i="2"/>
  <c r="J186" i="2"/>
  <c r="K186" i="2"/>
  <c r="L186" i="2"/>
  <c r="M186" i="2"/>
  <c r="D187" i="2"/>
  <c r="E187" i="2"/>
  <c r="J187" i="2"/>
  <c r="K187" i="2"/>
  <c r="L187" i="2"/>
  <c r="M187" i="2"/>
  <c r="D188" i="2"/>
  <c r="E188" i="2"/>
  <c r="J188" i="2"/>
  <c r="K188" i="2"/>
  <c r="L188" i="2"/>
  <c r="M188" i="2"/>
  <c r="D189" i="2"/>
  <c r="E189" i="2"/>
  <c r="J189" i="2"/>
  <c r="K189" i="2"/>
  <c r="L189" i="2"/>
  <c r="M189" i="2"/>
  <c r="D190" i="2"/>
  <c r="E190" i="2"/>
  <c r="J190" i="2"/>
  <c r="K190" i="2"/>
  <c r="L190" i="2"/>
  <c r="M190" i="2"/>
  <c r="D191" i="2"/>
  <c r="E191" i="2"/>
  <c r="J191" i="2"/>
  <c r="K191" i="2"/>
  <c r="L191" i="2"/>
  <c r="M191" i="2"/>
  <c r="D192" i="2"/>
  <c r="E192" i="2"/>
  <c r="J192" i="2"/>
  <c r="K192" i="2"/>
  <c r="L192" i="2"/>
  <c r="M192" i="2"/>
  <c r="D193" i="2"/>
  <c r="E193" i="2"/>
  <c r="J193" i="2"/>
  <c r="K193" i="2"/>
  <c r="L193" i="2"/>
  <c r="M193" i="2"/>
  <c r="D194" i="2"/>
  <c r="E194" i="2"/>
  <c r="J194" i="2"/>
  <c r="K194" i="2"/>
  <c r="L194" i="2"/>
  <c r="M194" i="2"/>
  <c r="D195" i="2"/>
  <c r="E195" i="2"/>
  <c r="J195" i="2"/>
  <c r="K195" i="2"/>
  <c r="L195" i="2"/>
  <c r="M195" i="2"/>
  <c r="D196" i="2"/>
  <c r="E196" i="2"/>
  <c r="J196" i="2"/>
  <c r="K196" i="2"/>
  <c r="L196" i="2"/>
  <c r="M196" i="2"/>
  <c r="D197" i="2"/>
  <c r="E197" i="2"/>
  <c r="J197" i="2"/>
  <c r="K197" i="2"/>
  <c r="L197" i="2"/>
  <c r="M197" i="2"/>
  <c r="D198" i="2"/>
  <c r="E198" i="2"/>
  <c r="J198" i="2"/>
  <c r="K198" i="2"/>
  <c r="L198" i="2"/>
  <c r="M198" i="2"/>
  <c r="D199" i="2"/>
  <c r="E199" i="2"/>
  <c r="J199" i="2"/>
  <c r="K199" i="2"/>
  <c r="L199" i="2"/>
  <c r="M199" i="2"/>
  <c r="D200" i="2"/>
  <c r="E200" i="2"/>
  <c r="J200" i="2"/>
  <c r="K200" i="2"/>
  <c r="L200" i="2"/>
  <c r="M200" i="2"/>
  <c r="D201" i="2"/>
  <c r="E201" i="2"/>
  <c r="J201" i="2"/>
  <c r="K201" i="2"/>
  <c r="L201" i="2"/>
  <c r="M201" i="2"/>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4" i="3"/>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4" i="8"/>
  <c r="B5" i="8"/>
  <c r="B6" i="8"/>
  <c r="D5" i="9"/>
  <c r="B5" i="9"/>
  <c r="C5" i="9"/>
  <c r="A5" i="9"/>
  <c r="G7" i="8"/>
  <c r="E10" i="2" l="1"/>
  <c r="I6" i="7"/>
  <c r="C2" i="7" l="1"/>
  <c r="H7" i="7"/>
  <c r="H8" i="7"/>
  <c r="H9" i="7"/>
  <c r="H10" i="7"/>
  <c r="H11" i="7"/>
  <c r="H12" i="7"/>
  <c r="H13" i="7"/>
  <c r="H14" i="7"/>
  <c r="H15" i="7"/>
  <c r="H16" i="7"/>
  <c r="H17" i="7"/>
  <c r="H18" i="7"/>
  <c r="H19" i="7"/>
  <c r="H20" i="7"/>
  <c r="H21" i="7"/>
  <c r="H22" i="7"/>
  <c r="H23" i="7"/>
  <c r="H24" i="7"/>
  <c r="H25" i="7"/>
  <c r="H26" i="7"/>
  <c r="H27" i="7"/>
  <c r="H28" i="7"/>
  <c r="H29" i="7"/>
  <c r="H30" i="7"/>
  <c r="H31" i="7"/>
  <c r="H32" i="7"/>
  <c r="H33" i="7"/>
  <c r="H34" i="7"/>
  <c r="H35" i="7"/>
  <c r="H36" i="7"/>
  <c r="H37" i="7"/>
  <c r="H38" i="7"/>
  <c r="H39" i="7"/>
  <c r="H40" i="7"/>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4" i="7"/>
  <c r="H5" i="7"/>
  <c r="H6" i="7"/>
  <c r="H3" i="7"/>
  <c r="H2" i="7"/>
  <c r="H1" i="7"/>
  <c r="D8" i="2" l="1"/>
  <c r="E8" i="2"/>
  <c r="D8" i="1" l="1"/>
  <c r="D9" i="1"/>
  <c r="D10" i="1"/>
  <c r="D11" i="1"/>
  <c r="D12" i="1"/>
  <c r="D14" i="1"/>
  <c r="D15" i="1"/>
  <c r="D16" i="1"/>
  <c r="D17" i="1"/>
  <c r="D18" i="1"/>
  <c r="D19" i="1"/>
  <c r="D20" i="1"/>
  <c r="D21" i="1"/>
  <c r="D22" i="1"/>
  <c r="D23" i="1"/>
  <c r="D24" i="1"/>
  <c r="D25" i="1"/>
  <c r="D26" i="1"/>
  <c r="D27" i="1"/>
  <c r="D28" i="1"/>
  <c r="D29" i="1"/>
  <c r="D30" i="1"/>
  <c r="D31" i="1"/>
  <c r="D32" i="1"/>
  <c r="D33" i="1"/>
  <c r="D6" i="1"/>
  <c r="D5" i="1"/>
  <c r="D4" i="1"/>
  <c r="D3" i="1"/>
  <c r="D2" i="1"/>
  <c r="D7" i="1"/>
  <c r="K8" i="2"/>
  <c r="L10" i="2"/>
  <c r="L3" i="2"/>
  <c r="L7" i="2"/>
  <c r="L2" i="2"/>
  <c r="L6" i="2"/>
  <c r="L5" i="2"/>
  <c r="L4" i="2"/>
  <c r="L9" i="2"/>
  <c r="L8" i="2"/>
  <c r="K3" i="2"/>
  <c r="K7" i="2"/>
  <c r="K2" i="2"/>
  <c r="K6" i="2"/>
  <c r="K5" i="2"/>
  <c r="K4" i="2"/>
  <c r="K9" i="2"/>
  <c r="K10" i="2"/>
  <c r="J8" i="2"/>
  <c r="J9" i="2"/>
  <c r="J4" i="2"/>
  <c r="J5" i="2"/>
  <c r="J6" i="2"/>
  <c r="J2" i="2"/>
  <c r="J7" i="2"/>
  <c r="J3" i="2"/>
  <c r="J10" i="2"/>
  <c r="D3" i="2"/>
  <c r="E3" i="2"/>
  <c r="D10" i="2" l="1"/>
  <c r="D7" i="2"/>
  <c r="D2" i="2"/>
  <c r="D6" i="2"/>
  <c r="D5" i="2"/>
  <c r="D4" i="2"/>
  <c r="D9" i="2"/>
  <c r="M6" i="2"/>
  <c r="M10" i="2"/>
  <c r="M3" i="2"/>
  <c r="M7" i="2"/>
  <c r="M2" i="2"/>
  <c r="M5" i="2"/>
  <c r="M4" i="2"/>
  <c r="M9" i="2"/>
  <c r="M8" i="2"/>
  <c r="E6" i="2"/>
  <c r="E9" i="2"/>
  <c r="E5" i="2"/>
  <c r="E7" i="2"/>
  <c r="E2" i="2"/>
  <c r="E4" i="2"/>
  <c r="F44" i="8" l="1" a="1"/>
  <c r="F44" i="8" s="1"/>
  <c r="F45" i="8" a="1"/>
  <c r="F45" i="8" s="1"/>
  <c r="F37" i="8" a="1"/>
  <c r="F37" i="8" s="1"/>
  <c r="F38" i="8" a="1"/>
  <c r="F38" i="8" s="1"/>
  <c r="F42" i="8" a="1"/>
  <c r="F42" i="8" s="1"/>
  <c r="F39" i="8" a="1"/>
  <c r="F39" i="8" s="1"/>
  <c r="F40" i="8" a="1"/>
  <c r="F40" i="8" s="1"/>
  <c r="F41" i="8" a="1"/>
  <c r="F41" i="8" s="1"/>
  <c r="F43" i="8" a="1"/>
  <c r="F43" i="8" s="1"/>
  <c r="A3" i="7" a="1"/>
  <c r="A3" i="7" s="1"/>
  <c r="A11" i="7" a="1"/>
  <c r="A11" i="7" s="1"/>
  <c r="A19" i="7" a="1"/>
  <c r="A19" i="7" s="1"/>
  <c r="A27" i="7" a="1"/>
  <c r="A27" i="7" s="1"/>
  <c r="A39" i="7" a="1"/>
  <c r="A39" i="7" s="1"/>
  <c r="A55" i="7" a="1"/>
  <c r="A55" i="7" s="1"/>
  <c r="A8" i="7" a="1"/>
  <c r="A8" i="7" s="1"/>
  <c r="A16" i="7" a="1"/>
  <c r="A16" i="7" s="1"/>
  <c r="A26" i="7" a="1"/>
  <c r="A26" i="7" s="1"/>
  <c r="A34" i="7" a="1"/>
  <c r="A34" i="7" s="1"/>
  <c r="A54" i="7" a="1"/>
  <c r="A54" i="7" s="1"/>
  <c r="A5" i="7" a="1"/>
  <c r="A5" i="7" s="1"/>
  <c r="A13" i="7" a="1"/>
  <c r="A13" i="7" s="1"/>
  <c r="A21" i="7" a="1"/>
  <c r="A21" i="7" s="1"/>
  <c r="A29" i="7" a="1"/>
  <c r="A29" i="7" s="1"/>
  <c r="A45" i="7" a="1"/>
  <c r="A45" i="7" s="1"/>
  <c r="A48" i="7" a="1"/>
  <c r="A48" i="7" s="1"/>
  <c r="A10" i="7" a="1"/>
  <c r="A10" i="7" s="1"/>
  <c r="A18" i="7" a="1"/>
  <c r="A18" i="7" s="1"/>
  <c r="A28" i="7" a="1"/>
  <c r="A28" i="7" s="1"/>
  <c r="A36" i="7" a="1"/>
  <c r="A36" i="7" s="1"/>
  <c r="A24" i="7" a="1"/>
  <c r="A24" i="7" s="1"/>
  <c r="A31" i="7" a="1"/>
  <c r="A31" i="7" s="1"/>
  <c r="A49" i="7" a="1"/>
  <c r="A49" i="7" s="1"/>
  <c r="A2" i="7" a="1"/>
  <c r="A2" i="7" s="1"/>
  <c r="A7" i="7" a="1"/>
  <c r="A7" i="7" s="1"/>
  <c r="A15" i="7" a="1"/>
  <c r="A15" i="7" s="1"/>
  <c r="A23" i="7" a="1"/>
  <c r="A23" i="7" s="1"/>
  <c r="A33" i="7" a="1"/>
  <c r="A33" i="7" s="1"/>
  <c r="A47" i="7" a="1"/>
  <c r="A47" i="7" s="1"/>
  <c r="A4" i="7" a="1"/>
  <c r="A4" i="7" s="1"/>
  <c r="A12" i="7" a="1"/>
  <c r="A12" i="7" s="1"/>
  <c r="A20" i="7" a="1"/>
  <c r="A20" i="7" s="1"/>
  <c r="A30" i="7" a="1"/>
  <c r="A30" i="7" s="1"/>
  <c r="A40" i="7" a="1"/>
  <c r="A40" i="7" s="1"/>
  <c r="A38" i="7" a="1"/>
  <c r="A38" i="7" s="1"/>
  <c r="A35" i="7" a="1"/>
  <c r="A35" i="7" s="1"/>
  <c r="A53" i="7" a="1"/>
  <c r="A53" i="7" s="1"/>
  <c r="A42" i="7" a="1"/>
  <c r="A42" i="7" s="1"/>
  <c r="A44" i="7" a="1"/>
  <c r="A44" i="7" s="1"/>
  <c r="A46" i="7" a="1"/>
  <c r="A46" i="7" s="1"/>
  <c r="A52" i="7" a="1"/>
  <c r="A52" i="7" s="1"/>
  <c r="A9" i="7" a="1"/>
  <c r="A9" i="7" s="1"/>
  <c r="A17" i="7" a="1"/>
  <c r="A17" i="7" s="1"/>
  <c r="A25" i="7" a="1"/>
  <c r="A25" i="7" s="1"/>
  <c r="A37" i="7" a="1"/>
  <c r="A37" i="7" s="1"/>
  <c r="A51" i="7" a="1"/>
  <c r="A51" i="7" s="1"/>
  <c r="A6" i="7" a="1"/>
  <c r="A6" i="7" s="1"/>
  <c r="A14" i="7" a="1"/>
  <c r="A14" i="7" s="1"/>
  <c r="A22" i="7" a="1"/>
  <c r="A22" i="7" s="1"/>
  <c r="A32" i="7" a="1"/>
  <c r="A32" i="7" s="1"/>
  <c r="A41" i="7" a="1"/>
  <c r="A41" i="7" s="1"/>
  <c r="A50" i="7" a="1"/>
  <c r="A50" i="7" s="1"/>
  <c r="A43" i="7" a="1"/>
  <c r="A43" i="7" s="1"/>
  <c r="F13" i="8"/>
  <c r="D3" i="3" l="1"/>
  <c r="D2" i="3"/>
</calcChain>
</file>

<file path=xl/sharedStrings.xml><?xml version="1.0" encoding="utf-8"?>
<sst xmlns="http://schemas.openxmlformats.org/spreadsheetml/2006/main" count="308" uniqueCount="139">
  <si>
    <t>Symbol</t>
  </si>
  <si>
    <t>density of the fluid</t>
  </si>
  <si>
    <t>velocity of the fluid with respect to the object. This is a second line</t>
  </si>
  <si>
    <t>\Du</t>
  </si>
  <si>
    <t>characteristic linear dimension</t>
  </si>
  <si>
    <t>\DL</t>
  </si>
  <si>
    <t>dynamic viscosity of the fluid</t>
  </si>
  <si>
    <t>\Dmu</t>
  </si>
  <si>
    <t>u</t>
  </si>
  <si>
    <t>L</t>
  </si>
  <si>
    <t>μ</t>
  </si>
  <si>
    <t>Unit</t>
  </si>
  <si>
    <t>\DeclareSIUnit</t>
  </si>
  <si>
    <t>kgpermthree</t>
  </si>
  <si>
    <t>patimess</t>
  </si>
  <si>
    <t>mpers</t>
  </si>
  <si>
    <t>nodimension</t>
  </si>
  <si>
    <t>definition</t>
  </si>
  <si>
    <t>\kg\per\cubic\meter</t>
  </si>
  <si>
    <t>\meter\per\second</t>
  </si>
  <si>
    <t>\pascal\second</t>
  </si>
  <si>
    <t>-</t>
  </si>
  <si>
    <t>Latex code</t>
  </si>
  <si>
    <t>Pa.s</t>
  </si>
  <si>
    <r>
      <t>m.s</t>
    </r>
    <r>
      <rPr>
        <vertAlign val="superscript"/>
        <sz val="12"/>
        <color theme="1"/>
        <rFont val="Calibri (Hoofdtekst)"/>
      </rPr>
      <t>-1</t>
    </r>
  </si>
  <si>
    <r>
      <t>kg.m</t>
    </r>
    <r>
      <rPr>
        <vertAlign val="superscript"/>
        <sz val="12"/>
        <color theme="1"/>
        <rFont val="Calibri (Hoofdtekst)"/>
      </rPr>
      <t>-3</t>
    </r>
  </si>
  <si>
    <t>Re</t>
  </si>
  <si>
    <t>\Dre</t>
  </si>
  <si>
    <t>Reynolds number,  dimensionless quantity</t>
  </si>
  <si>
    <t>\Eu</t>
  </si>
  <si>
    <t>\EL</t>
  </si>
  <si>
    <t>\Emu</t>
  </si>
  <si>
    <t>\Ere</t>
  </si>
  <si>
    <t>Definition</t>
  </si>
  <si>
    <t>\mu</t>
  </si>
  <si>
    <t>Array for parameter definitions</t>
  </si>
  <si>
    <t>\kgpermthree</t>
  </si>
  <si>
    <t>\mpers</t>
  </si>
  <si>
    <t>\patimess</t>
  </si>
  <si>
    <t>\nodimension</t>
  </si>
  <si>
    <t>Property</t>
  </si>
  <si>
    <t>Latex code brackets</t>
  </si>
  <si>
    <t>{Re}</t>
  </si>
  <si>
    <t>Macro symbol description</t>
  </si>
  <si>
    <t>mu</t>
  </si>
  <si>
    <t>Glossary list (for symbol list)</t>
  </si>
  <si>
    <t>Macros for equation paramater description</t>
  </si>
  <si>
    <t>ρl</t>
  </si>
  <si>
    <t>{Ar}</t>
  </si>
  <si>
    <t>\meter\per\square\second</t>
  </si>
  <si>
    <r>
      <t>m.s</t>
    </r>
    <r>
      <rPr>
        <vertAlign val="superscript"/>
        <sz val="12"/>
        <color theme="1"/>
        <rFont val="Calibri (Hoofdtekst)"/>
      </rPr>
      <t>-2</t>
    </r>
  </si>
  <si>
    <t>\mperstwo</t>
  </si>
  <si>
    <t>Ar</t>
  </si>
  <si>
    <t>\Dar</t>
  </si>
  <si>
    <t>\Ear</t>
  </si>
  <si>
    <t>Archimedes number</t>
  </si>
  <si>
    <t>rholiquid</t>
  </si>
  <si>
    <t>\Drholiquid</t>
  </si>
  <si>
    <t>\Erholiquid</t>
  </si>
  <si>
    <t>ρb</t>
  </si>
  <si>
    <t>\Drhobody</t>
  </si>
  <si>
    <t>\Erhobody</t>
  </si>
  <si>
    <t>density of the body</t>
  </si>
  <si>
    <t>g</t>
  </si>
  <si>
    <t>\Dg</t>
  </si>
  <si>
    <t>\Eg</t>
  </si>
  <si>
    <t>mperstwo</t>
  </si>
  <si>
    <t>gravitational acceleration</t>
  </si>
  <si>
    <t>meter</t>
  </si>
  <si>
    <t>Latex code symbol</t>
  </si>
  <si>
    <t>In equation # ?</t>
  </si>
  <si>
    <t>Defeninitions under equation #</t>
  </si>
  <si>
    <t>A2</t>
  </si>
  <si>
    <t>A3</t>
  </si>
  <si>
    <t>A4</t>
  </si>
  <si>
    <t>A5</t>
  </si>
  <si>
    <t>A6</t>
  </si>
  <si>
    <t>A7</t>
  </si>
  <si>
    <t>A8</t>
  </si>
  <si>
    <t>A9</t>
  </si>
  <si>
    <t>A10</t>
  </si>
  <si>
    <t>A11</t>
  </si>
  <si>
    <t>A12</t>
  </si>
  <si>
    <t>A13</t>
  </si>
  <si>
    <t>A14</t>
  </si>
  <si>
    <t>A15</t>
  </si>
  <si>
    <t>A16</t>
  </si>
  <si>
    <t>A17</t>
  </si>
  <si>
    <t>A18</t>
  </si>
  <si>
    <t>A21</t>
  </si>
  <si>
    <t>A22</t>
  </si>
  <si>
    <t>A23</t>
  </si>
  <si>
    <t>A24</t>
  </si>
  <si>
    <t>A25</t>
  </si>
  <si>
    <t>A26</t>
  </si>
  <si>
    <t>A27</t>
  </si>
  <si>
    <t>A28</t>
  </si>
  <si>
    <t>A29</t>
  </si>
  <si>
    <t>A30</t>
  </si>
  <si>
    <t>A31</t>
  </si>
  <si>
    <t>A32</t>
  </si>
  <si>
    <t>A33</t>
  </si>
  <si>
    <t>A34</t>
  </si>
  <si>
    <t>A35</t>
  </si>
  <si>
    <t>A36</t>
  </si>
  <si>
    <t>A37</t>
  </si>
  <si>
    <t>A38</t>
  </si>
  <si>
    <t>A39</t>
  </si>
  <si>
    <t>A40</t>
  </si>
  <si>
    <t>TEKEN(10)</t>
  </si>
  <si>
    <t>TEKEN(13)</t>
  </si>
  <si>
    <t>"\begin{definitions}";</t>
  </si>
  <si>
    <t>Eq #</t>
  </si>
  <si>
    <t>for equation and parameters</t>
  </si>
  <si>
    <t>"\end{definitions}"</t>
  </si>
  <si>
    <t>Enter equation number
for code</t>
  </si>
  <si>
    <t>Equation selected</t>
  </si>
  <si>
    <t>Copy above code to your document</t>
  </si>
  <si>
    <t>Code:</t>
  </si>
  <si>
    <t>data on this sheet can be ignored</t>
  </si>
  <si>
    <t>\rho_\ell</t>
  </si>
  <si>
    <t>\rho_b</t>
  </si>
  <si>
    <t>\begin{equation}
\text{Ar} = \frac {{g}{L}^{3}{\rho_\ell}\left({\rho_b}-{\rho_\ell}\right)}{{\mu}^{2}}
\equationunit{[\si{\nodimension}]}
\end{equation}</t>
  </si>
  <si>
    <t>rhobody</t>
  </si>
  <si>
    <r>
      <t xml:space="preserve">Latin glossary entry name 
</t>
    </r>
    <r>
      <rPr>
        <sz val="12"/>
        <color theme="1"/>
        <rFont val="Calibri"/>
        <family val="2"/>
        <scheme val="minor"/>
      </rPr>
      <t>for ordering alphabetically</t>
    </r>
  </si>
  <si>
    <r>
      <t xml:space="preserve">Commandname definition
</t>
    </r>
    <r>
      <rPr>
        <sz val="12"/>
        <color theme="1"/>
        <rFont val="Calibri"/>
        <family val="2"/>
        <scheme val="minor"/>
      </rPr>
      <t>In the example data a D is used followed by the latin name</t>
    </r>
  </si>
  <si>
    <r>
      <t xml:space="preserve">Commandname equation parameter
</t>
    </r>
    <r>
      <rPr>
        <sz val="12"/>
        <color theme="1"/>
        <rFont val="Calibri"/>
        <family val="2"/>
        <scheme val="minor"/>
      </rPr>
      <t>In the example data a E is used to start each commandname</t>
    </r>
  </si>
  <si>
    <r>
      <t>Unit macroname (Siunitx)</t>
    </r>
    <r>
      <rPr>
        <sz val="12"/>
        <color theme="1"/>
        <rFont val="Calibri"/>
        <family val="2"/>
        <scheme val="minor"/>
      </rPr>
      <t xml:space="preserve"> As defined on the Units worksheet</t>
    </r>
  </si>
  <si>
    <r>
      <t xml:space="preserve">Equation 
</t>
    </r>
    <r>
      <rPr>
        <sz val="12"/>
        <color theme="1"/>
        <rFont val="Calibri"/>
        <family val="2"/>
        <scheme val="minor"/>
      </rPr>
      <t>Note: every symbol code needs to be wrapped in extra {} brackets for recognition of parameters for column D, eg {\rho_\ell}</t>
    </r>
  </si>
  <si>
    <t>\begin{equation} 
\text{Re}=\frac{{\rho_\ell}{u}{L}}{\mu}\equationunit{[\si{\nodimension}]} 
\end{equation}</t>
  </si>
  <si>
    <t>This document is designed for use up to 200 Symbol definitions, if more needed, drag the formulas above rows to more cells and lower this line</t>
  </si>
  <si>
    <t>This document is designed for use up to 200 unit definitions, if more needed make changes to the Excel document</t>
  </si>
  <si>
    <t>Macros for Equation paramater description</t>
  </si>
  <si>
    <t>Copy  the following columns to your preamble (inputs)</t>
  </si>
  <si>
    <t>Tip: use Ctrl+shift+Q (instead of Cmd+C) to use a macro and copy the cell contents without quotation marks (Excel adds them to multiline cells copied content)</t>
  </si>
  <si>
    <r>
      <t xml:space="preserve">Latex code equation and parameters
Copy this code to your document 
</t>
    </r>
    <r>
      <rPr>
        <sz val="12"/>
        <color theme="1"/>
        <rFont val="Calibri"/>
        <family val="2"/>
        <scheme val="minor"/>
      </rPr>
      <t>Tip: use Ctrl+shift+Q (instead of Cmd+C) to use a macro and copy the cell contents without quotation marks (Excel adds them to multiline cells copied content)</t>
    </r>
  </si>
  <si>
    <t>If preferred, maybe for more overview, it's possible to show the code based on the equation number entered in the box</t>
  </si>
  <si>
    <r>
      <t xml:space="preserve">Output of the example data 
</t>
    </r>
    <r>
      <rPr>
        <sz val="12"/>
        <color theme="1"/>
        <rFont val="Calibri"/>
        <family val="2"/>
        <scheme val="minor"/>
      </rPr>
      <t xml:space="preserve">When the code of column D is added to the LaTeX document </t>
    </r>
  </si>
  <si>
    <t>Units declatations for  siunitx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</si>
</sst>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2"/>
      <color theme="1"/>
      <name val="Calibri"/>
      <family val="2"/>
      <scheme val="minor"/>
    </font>
    <font>
      <b/>
      <sz val="12"/>
      <color theme="1"/>
      <name val="Calibri"/>
      <family val="2"/>
      <scheme val="minor"/>
    </font>
    <font>
      <sz val="12"/>
      <color rgb="FF000000"/>
      <name val="Calibri"/>
      <family val="2"/>
      <scheme val="minor"/>
    </font>
    <font>
      <vertAlign val="superscript"/>
      <sz val="12"/>
      <color theme="1"/>
      <name val="Calibri (Hoofdtekst)"/>
    </font>
    <font>
      <sz val="12"/>
      <color theme="1"/>
      <name val="Courier"/>
      <family val="1"/>
    </font>
    <font>
      <sz val="16"/>
      <color theme="1"/>
      <name val="Calibri"/>
      <family val="2"/>
      <scheme val="minor"/>
    </font>
    <font>
      <b/>
      <sz val="16"/>
      <color theme="1"/>
      <name val="Calibri"/>
      <family val="2"/>
      <scheme val="minor"/>
    </font>
    <font>
      <sz val="20"/>
      <color theme="1"/>
      <name val="Calibri"/>
      <family val="2"/>
      <scheme val="minor"/>
    </font>
    <font>
      <b/>
      <sz val="12"/>
      <color rgb="FF000000"/>
      <name val="Calibri"/>
      <family val="2"/>
      <scheme val="minor"/>
    </font>
  </fonts>
  <fills count="5">
    <fill>
      <patternFill patternType="none"/>
    </fill>
    <fill>
      <patternFill patternType="gray125"/>
    </fill>
    <fill>
      <patternFill patternType="solid">
        <fgColor theme="7" tint="0.79998168889431442"/>
        <bgColor indexed="64"/>
      </patternFill>
    </fill>
    <fill>
      <patternFill patternType="solid">
        <fgColor theme="0"/>
        <bgColor indexed="64"/>
      </patternFill>
    </fill>
    <fill>
      <patternFill patternType="solid">
        <fgColor theme="3" tint="0.79998168889431442"/>
        <bgColor indexed="64"/>
      </patternFill>
    </fill>
  </fills>
  <borders count="29">
    <border>
      <left/>
      <right/>
      <top/>
      <bottom/>
      <diagonal/>
    </border>
    <border>
      <left/>
      <right/>
      <top/>
      <bottom style="thin">
        <color indexed="64"/>
      </bottom>
      <diagonal/>
    </border>
    <border>
      <left style="thin">
        <color theme="2"/>
      </left>
      <right style="thin">
        <color theme="2"/>
      </right>
      <top style="thin">
        <color theme="2"/>
      </top>
      <bottom style="thin">
        <color theme="2"/>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2"/>
      </left>
      <right style="thin">
        <color theme="2"/>
      </right>
      <top style="thin">
        <color theme="2"/>
      </top>
      <bottom/>
      <diagonal/>
    </border>
    <border>
      <left style="thin">
        <color theme="2"/>
      </left>
      <right style="thin">
        <color theme="2"/>
      </right>
      <top/>
      <bottom style="thin">
        <color theme="2"/>
      </bottom>
      <diagonal/>
    </border>
    <border>
      <left style="thin">
        <color theme="2" tint="-0.24994659260841701"/>
      </left>
      <right/>
      <top style="thin">
        <color theme="2" tint="-0.24994659260841701"/>
      </top>
      <bottom style="thin">
        <color theme="2" tint="-0.24994659260841701"/>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rgb="FFFFFFFF"/>
      </right>
      <top/>
      <bottom style="thin">
        <color rgb="FFFFFFFF"/>
      </bottom>
      <diagonal/>
    </border>
    <border>
      <left style="medium">
        <color theme="1"/>
      </left>
      <right style="medium">
        <color theme="1"/>
      </right>
      <top style="medium">
        <color theme="1"/>
      </top>
      <bottom style="medium">
        <color theme="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2" tint="-0.24994659260841701"/>
      </left>
      <right style="thin">
        <color theme="2" tint="-0.24994659260841701"/>
      </right>
      <top style="thin">
        <color theme="2" tint="-0.24994659260841701"/>
      </top>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style="thin">
        <color theme="2" tint="-0.24994659260841701"/>
      </right>
      <top/>
      <bottom style="thin">
        <color theme="2" tint="-0.24994659260841701"/>
      </bottom>
      <diagonal/>
    </border>
    <border>
      <left style="thin">
        <color theme="2" tint="-0.24994659260841701"/>
      </left>
      <right style="thin">
        <color theme="2" tint="-0.24994659260841701"/>
      </right>
      <top style="thin">
        <color theme="2" tint="-0.24994659260841701"/>
      </top>
      <bottom style="thin">
        <color theme="1"/>
      </bottom>
      <diagonal/>
    </border>
    <border>
      <left/>
      <right/>
      <top/>
      <bottom style="thin">
        <color theme="1"/>
      </bottom>
      <diagonal/>
    </border>
    <border>
      <left style="thin">
        <color theme="2" tint="-0.249977111117893"/>
      </left>
      <right style="thin">
        <color theme="2" tint="-0.249977111117893"/>
      </right>
      <top style="thin">
        <color theme="2" tint="-0.249977111117893"/>
      </top>
      <bottom style="thin">
        <color theme="2" tint="-0.249977111117893"/>
      </bottom>
      <diagonal/>
    </border>
  </borders>
  <cellStyleXfs count="1">
    <xf numFmtId="0" fontId="0" fillId="0" borderId="0"/>
  </cellStyleXfs>
  <cellXfs count="74">
    <xf numFmtId="0" fontId="0" fillId="0" borderId="0" xfId="0"/>
    <xf numFmtId="0" fontId="1" fillId="0" borderId="0" xfId="0" applyFont="1"/>
    <xf numFmtId="0" fontId="0" fillId="0" borderId="1" xfId="0" applyBorder="1"/>
    <xf numFmtId="0" fontId="0" fillId="0" borderId="0" xfId="0" applyProtection="1"/>
    <xf numFmtId="0" fontId="0" fillId="0" borderId="0" xfId="0" applyProtection="1">
      <protection locked="0"/>
    </xf>
    <xf numFmtId="0" fontId="0" fillId="0" borderId="0" xfId="0" applyProtection="1">
      <protection hidden="1"/>
    </xf>
    <xf numFmtId="0" fontId="0" fillId="0" borderId="0" xfId="0" applyAlignment="1">
      <alignment wrapText="1"/>
    </xf>
    <xf numFmtId="0" fontId="0" fillId="0" borderId="2" xfId="0" applyFill="1" applyBorder="1"/>
    <xf numFmtId="0" fontId="0" fillId="2" borderId="3" xfId="0" applyFill="1" applyBorder="1" applyProtection="1">
      <protection locked="0"/>
    </xf>
    <xf numFmtId="0" fontId="0" fillId="0" borderId="5" xfId="0" applyFill="1" applyBorder="1"/>
    <xf numFmtId="0" fontId="0" fillId="0" borderId="0" xfId="0" applyAlignment="1">
      <alignment vertical="top" wrapText="1"/>
    </xf>
    <xf numFmtId="0" fontId="1" fillId="0" borderId="0" xfId="0" applyFont="1" applyAlignment="1">
      <alignment vertical="top"/>
    </xf>
    <xf numFmtId="0" fontId="0" fillId="2" borderId="3" xfId="0" applyFont="1" applyFill="1" applyBorder="1" applyAlignment="1" applyProtection="1">
      <protection locked="0"/>
    </xf>
    <xf numFmtId="0" fontId="2" fillId="2" borderId="3" xfId="0" applyFont="1" applyFill="1" applyBorder="1" applyAlignment="1" applyProtection="1">
      <protection locked="0"/>
    </xf>
    <xf numFmtId="0" fontId="1" fillId="0" borderId="0" xfId="0" applyFont="1" applyAlignment="1" applyProtection="1">
      <alignment vertical="top"/>
    </xf>
    <xf numFmtId="0" fontId="0" fillId="0" borderId="7" xfId="0" applyFont="1" applyBorder="1" applyAlignment="1"/>
    <xf numFmtId="0" fontId="0" fillId="0" borderId="7" xfId="0" applyBorder="1"/>
    <xf numFmtId="0" fontId="6" fillId="0" borderId="7" xfId="0" applyFont="1" applyBorder="1" applyAlignment="1">
      <alignment horizontal="left"/>
    </xf>
    <xf numFmtId="0" fontId="5" fillId="0" borderId="7" xfId="0" applyFont="1" applyBorder="1" applyAlignment="1" applyProtection="1"/>
    <xf numFmtId="0" fontId="6" fillId="0" borderId="7" xfId="0" applyFont="1" applyBorder="1" applyAlignment="1" applyProtection="1">
      <protection hidden="1"/>
    </xf>
    <xf numFmtId="0" fontId="0" fillId="0" borderId="7" xfId="0" applyFont="1" applyBorder="1" applyAlignment="1" applyProtection="1">
      <protection hidden="1"/>
    </xf>
    <xf numFmtId="0" fontId="0" fillId="0" borderId="9" xfId="0" applyFont="1" applyBorder="1" applyAlignment="1"/>
    <xf numFmtId="0" fontId="0" fillId="0" borderId="10" xfId="0" applyFont="1" applyBorder="1" applyAlignment="1"/>
    <xf numFmtId="0" fontId="0" fillId="0" borderId="11" xfId="0" applyFont="1" applyBorder="1" applyAlignment="1"/>
    <xf numFmtId="0" fontId="0" fillId="0" borderId="10" xfId="0" applyFont="1" applyBorder="1" applyAlignment="1" applyProtection="1">
      <protection hidden="1"/>
    </xf>
    <xf numFmtId="0" fontId="0" fillId="0" borderId="11" xfId="0" applyFont="1" applyBorder="1" applyAlignment="1" applyProtection="1">
      <protection hidden="1"/>
    </xf>
    <xf numFmtId="0" fontId="1" fillId="3" borderId="0" xfId="0" applyFont="1" applyFill="1" applyAlignment="1">
      <alignment wrapText="1"/>
    </xf>
    <xf numFmtId="0" fontId="0" fillId="3" borderId="0" xfId="0" applyFill="1" applyBorder="1" applyProtection="1">
      <protection locked="0"/>
    </xf>
    <xf numFmtId="0" fontId="0" fillId="3" borderId="0" xfId="0" applyFill="1" applyBorder="1" applyAlignment="1" applyProtection="1">
      <alignment wrapText="1"/>
      <protection locked="0"/>
    </xf>
    <xf numFmtId="0" fontId="0" fillId="3" borderId="0" xfId="0" applyFill="1"/>
    <xf numFmtId="0" fontId="0" fillId="2" borderId="3" xfId="0" applyFill="1" applyBorder="1" applyAlignment="1" applyProtection="1">
      <alignment vertical="top" wrapText="1"/>
      <protection locked="0"/>
    </xf>
    <xf numFmtId="0" fontId="0" fillId="2" borderId="6" xfId="0" applyFill="1" applyBorder="1" applyAlignment="1" applyProtection="1">
      <alignment vertical="top" wrapText="1"/>
      <protection locked="0"/>
    </xf>
    <xf numFmtId="0" fontId="5" fillId="0" borderId="12" xfId="0" applyFont="1" applyBorder="1" applyAlignment="1" applyProtection="1">
      <alignment horizontal="center" vertical="center"/>
      <protection locked="0"/>
    </xf>
    <xf numFmtId="0" fontId="0" fillId="0" borderId="7" xfId="0" applyFont="1" applyBorder="1" applyAlignment="1">
      <alignment vertical="top" wrapText="1"/>
    </xf>
    <xf numFmtId="0" fontId="1" fillId="0" borderId="4" xfId="0" applyFont="1" applyFill="1" applyBorder="1" applyAlignment="1" applyProtection="1">
      <alignment vertical="top"/>
    </xf>
    <xf numFmtId="0" fontId="1" fillId="0" borderId="0" xfId="0" applyFont="1" applyAlignment="1" applyProtection="1">
      <alignment vertical="top"/>
      <protection hidden="1"/>
    </xf>
    <xf numFmtId="0" fontId="0" fillId="0" borderId="0" xfId="0" applyAlignment="1" applyProtection="1">
      <alignment vertical="top"/>
    </xf>
    <xf numFmtId="0" fontId="1" fillId="0" borderId="4" xfId="0" applyFont="1" applyFill="1" applyBorder="1" applyAlignment="1" applyProtection="1">
      <alignment vertical="top" wrapText="1"/>
    </xf>
    <xf numFmtId="0" fontId="7" fillId="0" borderId="0" xfId="0" applyFont="1"/>
    <xf numFmtId="0" fontId="0" fillId="0" borderId="13" xfId="0" applyFill="1" applyBorder="1"/>
    <xf numFmtId="0" fontId="0" fillId="0" borderId="14" xfId="0" applyFill="1" applyBorder="1"/>
    <xf numFmtId="0" fontId="1" fillId="0" borderId="2" xfId="0" applyFont="1" applyBorder="1"/>
    <xf numFmtId="0" fontId="8" fillId="0" borderId="2" xfId="0" applyFont="1" applyBorder="1" applyAlignment="1">
      <alignment vertical="top"/>
    </xf>
    <xf numFmtId="0" fontId="0" fillId="0" borderId="2" xfId="0" applyBorder="1"/>
    <xf numFmtId="0" fontId="0" fillId="0" borderId="13" xfId="0" applyBorder="1"/>
    <xf numFmtId="0" fontId="1" fillId="0" borderId="0" xfId="0" applyFont="1" applyBorder="1" applyAlignment="1">
      <alignment wrapText="1"/>
    </xf>
    <xf numFmtId="0" fontId="4" fillId="0" borderId="0" xfId="0" applyFont="1" applyBorder="1" applyAlignment="1">
      <alignment vertical="top" wrapText="1"/>
    </xf>
    <xf numFmtId="0" fontId="0" fillId="0" borderId="9" xfId="0" applyBorder="1"/>
    <xf numFmtId="0" fontId="0" fillId="0" borderId="0" xfId="0" applyBorder="1"/>
    <xf numFmtId="0" fontId="1" fillId="0" borderId="0" xfId="0" applyFont="1" applyBorder="1" applyAlignment="1">
      <alignment vertical="top" wrapText="1"/>
    </xf>
    <xf numFmtId="0" fontId="1" fillId="0" borderId="0" xfId="0" applyFont="1" applyAlignment="1" applyProtection="1">
      <alignment vertical="top" wrapText="1"/>
    </xf>
    <xf numFmtId="0" fontId="1" fillId="0" borderId="0" xfId="0" applyFont="1" applyAlignment="1">
      <alignment vertical="top" wrapText="1"/>
    </xf>
    <xf numFmtId="0" fontId="1" fillId="0" borderId="9" xfId="0" applyFont="1" applyBorder="1" applyAlignment="1">
      <alignment vertical="top" wrapText="1"/>
    </xf>
    <xf numFmtId="0" fontId="0" fillId="2" borderId="23" xfId="0" applyFont="1" applyFill="1" applyBorder="1" applyAlignment="1" applyProtection="1">
      <protection locked="0"/>
    </xf>
    <xf numFmtId="0" fontId="0" fillId="2" borderId="24" xfId="0" applyFont="1" applyFill="1" applyBorder="1" applyAlignment="1" applyProtection="1">
      <protection locked="0"/>
    </xf>
    <xf numFmtId="0" fontId="0" fillId="2" borderId="25" xfId="0" applyFont="1" applyFill="1" applyBorder="1" applyAlignment="1" applyProtection="1">
      <protection locked="0"/>
    </xf>
    <xf numFmtId="0" fontId="0" fillId="2" borderId="0" xfId="0" applyFont="1" applyFill="1" applyBorder="1" applyAlignment="1" applyProtection="1">
      <protection locked="0"/>
    </xf>
    <xf numFmtId="0" fontId="0" fillId="2" borderId="26" xfId="0" applyFont="1" applyFill="1" applyBorder="1" applyAlignment="1" applyProtection="1">
      <protection locked="0"/>
    </xf>
    <xf numFmtId="0" fontId="0" fillId="0" borderId="27" xfId="0" applyBorder="1"/>
    <xf numFmtId="0" fontId="1" fillId="3" borderId="0" xfId="0" applyFont="1" applyFill="1"/>
    <xf numFmtId="0" fontId="8" fillId="3" borderId="0" xfId="0" applyFont="1" applyFill="1" applyAlignment="1">
      <alignment vertical="top"/>
    </xf>
    <xf numFmtId="0" fontId="0" fillId="3" borderId="0" xfId="0" applyFill="1" applyBorder="1"/>
    <xf numFmtId="0" fontId="4" fillId="4" borderId="28" xfId="0" applyFont="1" applyFill="1" applyBorder="1" applyAlignment="1">
      <alignment vertical="top" wrapText="1"/>
    </xf>
    <xf numFmtId="0" fontId="4" fillId="0" borderId="15"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18" xfId="0" applyFont="1" applyBorder="1" applyAlignment="1">
      <alignment vertical="top" wrapText="1"/>
    </xf>
    <xf numFmtId="0" fontId="4" fillId="0" borderId="0"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22" xfId="0" applyFont="1" applyBorder="1" applyAlignment="1">
      <alignment vertical="top" wrapText="1"/>
    </xf>
    <xf numFmtId="0" fontId="6" fillId="0" borderId="8" xfId="0" applyFont="1" applyBorder="1" applyAlignment="1">
      <alignment horizontal="left" vertical="top" wrapText="1"/>
    </xf>
    <xf numFmtId="0" fontId="0" fillId="0" borderId="7" xfId="0" applyFont="1" applyBorder="1" applyAlignment="1">
      <alignment vertical="top" wrapText="1"/>
    </xf>
  </cellXfs>
  <cellStyles count="1">
    <cellStyle name="Standaard" xfId="0" builtinId="0"/>
  </cellStyles>
  <dxfs count="1">
    <dxf>
      <font>
        <color auto="1"/>
      </font>
      <fill>
        <patternFill>
          <bgColor theme="4" tint="0.79998168889431442"/>
        </patternFill>
      </fill>
      <border>
        <left style="thin">
          <color theme="2" tint="-0.24994659260841701"/>
        </left>
        <right style="thin">
          <color theme="2" tint="-0.24994659260841701"/>
        </right>
        <top style="thin">
          <color theme="2" tint="-0.24994659260841701"/>
        </top>
        <bottom style="thin">
          <color theme="2" tint="-0.24994659260841701"/>
        </bottom>
      </border>
    </dxf>
  </dxfs>
  <tableStyles count="0" defaultTableStyle="TableStyleMedium2" defaultPivotStyle="PivotStyleLight16"/>
  <colors>
    <mruColors>
      <color rgb="FFFFFFFF"/>
      <color rgb="FF00FF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63500</xdr:rowOff>
    </xdr:from>
    <xdr:to>
      <xdr:col>9</xdr:col>
      <xdr:colOff>762000</xdr:colOff>
      <xdr:row>31</xdr:row>
      <xdr:rowOff>50800</xdr:rowOff>
    </xdr:to>
    <xdr:sp macro="" textlink="">
      <xdr:nvSpPr>
        <xdr:cNvPr id="2" name="Tekstvak 1">
          <a:extLst>
            <a:ext uri="{FF2B5EF4-FFF2-40B4-BE49-F238E27FC236}">
              <a16:creationId xmlns:a16="http://schemas.microsoft.com/office/drawing/2014/main" id="{956643DF-4401-4742-BCF1-FA11A1134B8D}"/>
            </a:ext>
          </a:extLst>
        </xdr:cNvPr>
        <xdr:cNvSpPr txBox="1"/>
      </xdr:nvSpPr>
      <xdr:spPr>
        <a:xfrm>
          <a:off x="88900" y="63500"/>
          <a:ext cx="8102600" cy="6286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600"/>
            <a:t>This Excel Workbook is</a:t>
          </a:r>
          <a:r>
            <a:rPr lang="nl-NL" sz="1600" baseline="0"/>
            <a:t> for</a:t>
          </a:r>
          <a:r>
            <a:rPr lang="nl-NL" sz="1600"/>
            <a:t> centrally maintaining</a:t>
          </a:r>
          <a:r>
            <a:rPr lang="nl-NL" sz="1600" baseline="0"/>
            <a:t> units, symbol description and  generating code for a symbol list and parameter descriptions under equations in LaTeX documents. </a:t>
          </a:r>
        </a:p>
        <a:p>
          <a:endParaRPr lang="nl-NL" sz="1600" baseline="0"/>
        </a:p>
        <a:p>
          <a:r>
            <a:rPr lang="nl-NL" sz="1600" baseline="0"/>
            <a:t>There is a more extensive description on </a:t>
          </a:r>
          <a:br>
            <a:rPr lang="nl-NL" sz="1600" baseline="0"/>
          </a:br>
          <a:r>
            <a:rPr lang="nl-NL" sz="1600" baseline="0"/>
            <a:t>https://github.com/johanf85/Symbollist-maintain-Excel </a:t>
          </a:r>
        </a:p>
        <a:p>
          <a:endParaRPr lang="nl-NL" sz="1600"/>
        </a:p>
        <a:p>
          <a:r>
            <a:rPr lang="nl-NL" sz="1600"/>
            <a:t>Add</a:t>
          </a:r>
          <a:r>
            <a:rPr lang="nl-NL" sz="1600" baseline="0"/>
            <a:t> your values in the seperate sheets (Units, Symbols, Equations). </a:t>
          </a:r>
          <a:endParaRPr lang="nl-NL" sz="1600"/>
        </a:p>
        <a:p>
          <a:endParaRPr lang="nl-NL" sz="1600"/>
        </a:p>
        <a:p>
          <a:r>
            <a:rPr lang="nl-NL" sz="1600"/>
            <a:t>The Excel</a:t>
          </a:r>
          <a:r>
            <a:rPr lang="nl-NL" sz="1600" baseline="0"/>
            <a:t> workbook is secured. Enter your values in the                  cells and other cells will be filled based on this input.                    cells contain code that needs to be copied to the LaTeX document. </a:t>
          </a:r>
        </a:p>
        <a:p>
          <a:br>
            <a:rPr lang="nl-NL" sz="1600" baseline="0"/>
          </a:br>
          <a:r>
            <a:rPr lang="nl-NL" sz="1600" baseline="0"/>
            <a:t>If you want to make changes to the formulas of the Workbook you have to unsecure the sheets. </a:t>
          </a:r>
        </a:p>
        <a:p>
          <a:endParaRPr lang="nl-NL" sz="1600" baseline="0"/>
        </a:p>
        <a:p>
          <a:r>
            <a:rPr lang="nl-NL" sz="1600" baseline="0"/>
            <a:t>There might be a possibility to export the data real time from the excel into your LaTeX document. This is something that is on the wish list for this project.</a:t>
          </a:r>
        </a:p>
        <a:p>
          <a:endParaRPr lang="nl-NL" sz="1600" baseline="0"/>
        </a:p>
        <a:p>
          <a:r>
            <a:rPr lang="nl-NL" sz="1600" baseline="0"/>
            <a:t>If you find bugs or have suggestions please contact me through github or email.</a:t>
          </a:r>
        </a:p>
        <a:p>
          <a:endParaRPr lang="nl-NL" sz="1600" baseline="0"/>
        </a:p>
        <a:p>
          <a:r>
            <a:rPr lang="nl-NL" sz="1600" baseline="0"/>
            <a:t>Created by Johan Fit,  johanf85git@outlook.com </a:t>
          </a:r>
          <a:br>
            <a:rPr lang="nl-NL" sz="1600" baseline="0"/>
          </a:br>
          <a:endParaRPr lang="nl-NL" sz="1600" baseline="0"/>
        </a:p>
        <a:p>
          <a:endParaRPr lang="nl-NL" sz="1600" baseline="0"/>
        </a:p>
        <a:p>
          <a:r>
            <a:rPr lang="nl-NL" sz="1600" baseline="0"/>
            <a:t>Version: 20200106</a:t>
          </a:r>
          <a:endParaRPr lang="nl-NL" sz="1600"/>
        </a:p>
      </xdr:txBody>
    </xdr:sp>
    <xdr:clientData/>
  </xdr:twoCellAnchor>
  <xdr:twoCellAnchor>
    <xdr:from>
      <xdr:col>5</xdr:col>
      <xdr:colOff>660400</xdr:colOff>
      <xdr:row>9</xdr:row>
      <xdr:rowOff>165100</xdr:rowOff>
    </xdr:from>
    <xdr:to>
      <xdr:col>6</xdr:col>
      <xdr:colOff>584200</xdr:colOff>
      <xdr:row>11</xdr:row>
      <xdr:rowOff>127000</xdr:rowOff>
    </xdr:to>
    <xdr:sp macro="" textlink="">
      <xdr:nvSpPr>
        <xdr:cNvPr id="3" name="Tekstvak 2">
          <a:extLst>
            <a:ext uri="{FF2B5EF4-FFF2-40B4-BE49-F238E27FC236}">
              <a16:creationId xmlns:a16="http://schemas.microsoft.com/office/drawing/2014/main" id="{8C2C72C3-4F22-8440-85A8-A1BED6F3582F}"/>
            </a:ext>
          </a:extLst>
        </xdr:cNvPr>
        <xdr:cNvSpPr txBox="1"/>
      </xdr:nvSpPr>
      <xdr:spPr>
        <a:xfrm>
          <a:off x="4787900" y="1993900"/>
          <a:ext cx="749300" cy="36830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yellow</a:t>
          </a:r>
          <a:endParaRPr lang="nl-NL" sz="1100"/>
        </a:p>
      </xdr:txBody>
    </xdr:sp>
    <xdr:clientData/>
  </xdr:twoCellAnchor>
  <xdr:twoCellAnchor editAs="oneCell">
    <xdr:from>
      <xdr:col>10</xdr:col>
      <xdr:colOff>762000</xdr:colOff>
      <xdr:row>0</xdr:row>
      <xdr:rowOff>101600</xdr:rowOff>
    </xdr:from>
    <xdr:to>
      <xdr:col>20</xdr:col>
      <xdr:colOff>127000</xdr:colOff>
      <xdr:row>43</xdr:row>
      <xdr:rowOff>165100</xdr:rowOff>
    </xdr:to>
    <xdr:pic>
      <xdr:nvPicPr>
        <xdr:cNvPr id="4" name="Afbeelding 3">
          <a:extLst>
            <a:ext uri="{FF2B5EF4-FFF2-40B4-BE49-F238E27FC236}">
              <a16:creationId xmlns:a16="http://schemas.microsoft.com/office/drawing/2014/main" id="{A8A15DB5-393D-8D48-8DFA-8206FCC71F01}"/>
            </a:ext>
          </a:extLst>
        </xdr:cNvPr>
        <xdr:cNvPicPr>
          <a:picLocks noChangeAspect="1"/>
        </xdr:cNvPicPr>
      </xdr:nvPicPr>
      <xdr:blipFill>
        <a:blip xmlns:r="http://schemas.openxmlformats.org/officeDocument/2006/relationships" r:embed="rId1"/>
        <a:stretch>
          <a:fillRect/>
        </a:stretch>
      </xdr:blipFill>
      <xdr:spPr>
        <a:xfrm>
          <a:off x="9017000" y="101600"/>
          <a:ext cx="7620000" cy="8801100"/>
        </a:xfrm>
        <a:prstGeom prst="rect">
          <a:avLst/>
        </a:prstGeom>
      </xdr:spPr>
    </xdr:pic>
    <xdr:clientData/>
  </xdr:twoCellAnchor>
  <xdr:twoCellAnchor>
    <xdr:from>
      <xdr:col>11</xdr:col>
      <xdr:colOff>0</xdr:colOff>
      <xdr:row>43</xdr:row>
      <xdr:rowOff>127000</xdr:rowOff>
    </xdr:from>
    <xdr:to>
      <xdr:col>20</xdr:col>
      <xdr:colOff>63500</xdr:colOff>
      <xdr:row>46</xdr:row>
      <xdr:rowOff>25400</xdr:rowOff>
    </xdr:to>
    <xdr:sp macro="" textlink="">
      <xdr:nvSpPr>
        <xdr:cNvPr id="5" name="Tekstvak 4">
          <a:extLst>
            <a:ext uri="{FF2B5EF4-FFF2-40B4-BE49-F238E27FC236}">
              <a16:creationId xmlns:a16="http://schemas.microsoft.com/office/drawing/2014/main" id="{953A443D-8B9F-254F-900D-46EAB62C4DA1}"/>
            </a:ext>
          </a:extLst>
        </xdr:cNvPr>
        <xdr:cNvSpPr txBox="1"/>
      </xdr:nvSpPr>
      <xdr:spPr>
        <a:xfrm>
          <a:off x="9080500" y="8864600"/>
          <a:ext cx="7493000" cy="508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An example of a document with LaTeX code based on the example data in this Workbook</a:t>
          </a:r>
        </a:p>
      </xdr:txBody>
    </xdr:sp>
    <xdr:clientData/>
  </xdr:twoCellAnchor>
  <xdr:twoCellAnchor>
    <xdr:from>
      <xdr:col>2</xdr:col>
      <xdr:colOff>698500</xdr:colOff>
      <xdr:row>11</xdr:row>
      <xdr:rowOff>88900</xdr:rowOff>
    </xdr:from>
    <xdr:to>
      <xdr:col>3</xdr:col>
      <xdr:colOff>622300</xdr:colOff>
      <xdr:row>13</xdr:row>
      <xdr:rowOff>50800</xdr:rowOff>
    </xdr:to>
    <xdr:sp macro="" textlink="">
      <xdr:nvSpPr>
        <xdr:cNvPr id="6" name="Tekstvak 5">
          <a:extLst>
            <a:ext uri="{FF2B5EF4-FFF2-40B4-BE49-F238E27FC236}">
              <a16:creationId xmlns:a16="http://schemas.microsoft.com/office/drawing/2014/main" id="{E468D6EE-B6DA-FF40-B8AF-4B93ED43629F}"/>
            </a:ext>
          </a:extLst>
        </xdr:cNvPr>
        <xdr:cNvSpPr txBox="1"/>
      </xdr:nvSpPr>
      <xdr:spPr>
        <a:xfrm>
          <a:off x="2349500" y="2324100"/>
          <a:ext cx="749300" cy="36830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nl-NL" sz="1600"/>
            <a:t>Purple</a:t>
          </a:r>
          <a:endParaRPr lang="nl-NL"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266700</xdr:colOff>
      <xdr:row>0</xdr:row>
      <xdr:rowOff>114300</xdr:rowOff>
    </xdr:from>
    <xdr:to>
      <xdr:col>7</xdr:col>
      <xdr:colOff>723900</xdr:colOff>
      <xdr:row>10</xdr:row>
      <xdr:rowOff>0</xdr:rowOff>
    </xdr:to>
    <xdr:sp macro="" textlink="">
      <xdr:nvSpPr>
        <xdr:cNvPr id="2" name="Tekstvak 1">
          <a:extLst>
            <a:ext uri="{FF2B5EF4-FFF2-40B4-BE49-F238E27FC236}">
              <a16:creationId xmlns:a16="http://schemas.microsoft.com/office/drawing/2014/main" id="{BF6352B5-8DE9-AE46-A7F0-84B04B9DD9E1}"/>
            </a:ext>
          </a:extLst>
        </xdr:cNvPr>
        <xdr:cNvSpPr txBox="1"/>
      </xdr:nvSpPr>
      <xdr:spPr>
        <a:xfrm>
          <a:off x="11150600" y="114300"/>
          <a:ext cx="2933700" cy="2032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a:t>The</a:t>
          </a:r>
          <a:r>
            <a:rPr lang="nl-NL" sz="1400" baseline="0"/>
            <a:t> syntax for the units is based on the </a:t>
          </a:r>
          <a:r>
            <a:rPr lang="nl-NL" sz="1400" baseline="0">
              <a:latin typeface="Courier" pitchFamily="2" charset="0"/>
            </a:rPr>
            <a:t>siunitx</a:t>
          </a:r>
          <a:r>
            <a:rPr lang="nl-NL" sz="1400" baseline="0"/>
            <a:t> package</a:t>
          </a:r>
          <a:endParaRPr lang="nl-NL" sz="1400"/>
        </a:p>
        <a:p>
          <a:endParaRPr lang="nl-NL" sz="1400"/>
        </a:p>
        <a:p>
          <a:r>
            <a:rPr lang="nl-NL" sz="1400"/>
            <a:t>Units</a:t>
          </a:r>
          <a:r>
            <a:rPr lang="nl-NL" sz="1400" baseline="0"/>
            <a:t> like meter, second , kg etc are of course already declared and do not need to be declared again. These units shouldn't be added to the list . See the </a:t>
          </a:r>
          <a:r>
            <a:rPr lang="nl-NL" sz="1400" baseline="0">
              <a:latin typeface="Courier" pitchFamily="2" charset="0"/>
            </a:rPr>
            <a:t>siunitx</a:t>
          </a:r>
          <a:r>
            <a:rPr lang="nl-NL" sz="1400" baseline="0"/>
            <a:t> package manual.</a:t>
          </a:r>
          <a:endParaRPr lang="nl-NL" sz="14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12700</xdr:colOff>
      <xdr:row>1</xdr:row>
      <xdr:rowOff>12700</xdr:rowOff>
    </xdr:from>
    <xdr:to>
      <xdr:col>8</xdr:col>
      <xdr:colOff>63500</xdr:colOff>
      <xdr:row>2</xdr:row>
      <xdr:rowOff>88900</xdr:rowOff>
    </xdr:to>
    <xdr:pic>
      <xdr:nvPicPr>
        <xdr:cNvPr id="6" name="Afbeelding 5">
          <a:extLst>
            <a:ext uri="{FF2B5EF4-FFF2-40B4-BE49-F238E27FC236}">
              <a16:creationId xmlns:a16="http://schemas.microsoft.com/office/drawing/2014/main" id="{2B4C1F32-3586-A143-A38A-69B39D1D4F8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262100" y="660400"/>
          <a:ext cx="7607300" cy="2260600"/>
        </a:xfrm>
        <a:prstGeom prst="rect">
          <a:avLst/>
        </a:prstGeom>
      </xdr:spPr>
    </xdr:pic>
    <xdr:clientData/>
  </xdr:twoCellAnchor>
  <xdr:twoCellAnchor editAs="oneCell">
    <xdr:from>
      <xdr:col>4</xdr:col>
      <xdr:colOff>25401</xdr:colOff>
      <xdr:row>2</xdr:row>
      <xdr:rowOff>12700</xdr:rowOff>
    </xdr:from>
    <xdr:to>
      <xdr:col>8</xdr:col>
      <xdr:colOff>65064</xdr:colOff>
      <xdr:row>3</xdr:row>
      <xdr:rowOff>9000</xdr:rowOff>
    </xdr:to>
    <xdr:pic>
      <xdr:nvPicPr>
        <xdr:cNvPr id="8" name="Afbeelding 7">
          <a:extLst>
            <a:ext uri="{FF2B5EF4-FFF2-40B4-BE49-F238E27FC236}">
              <a16:creationId xmlns:a16="http://schemas.microsoft.com/office/drawing/2014/main" id="{5EC22309-BC69-2148-81B0-FC9E671A75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4274801" y="2844800"/>
          <a:ext cx="7596163" cy="2523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482600</xdr:colOff>
      <xdr:row>21</xdr:row>
      <xdr:rowOff>101600</xdr:rowOff>
    </xdr:from>
    <xdr:to>
      <xdr:col>13</xdr:col>
      <xdr:colOff>203200</xdr:colOff>
      <xdr:row>23</xdr:row>
      <xdr:rowOff>50800</xdr:rowOff>
    </xdr:to>
    <xdr:sp macro="" textlink="">
      <xdr:nvSpPr>
        <xdr:cNvPr id="2" name="CopiedMessage" hidden="1">
          <a:extLst>
            <a:ext uri="{FF2B5EF4-FFF2-40B4-BE49-F238E27FC236}">
              <a16:creationId xmlns:a16="http://schemas.microsoft.com/office/drawing/2014/main" id="{E226BEDA-219D-A84C-BA8E-606CAF9C3DE8}"/>
            </a:ext>
          </a:extLst>
        </xdr:cNvPr>
        <xdr:cNvSpPr/>
      </xdr:nvSpPr>
      <xdr:spPr>
        <a:xfrm>
          <a:off x="17995900" y="5473700"/>
          <a:ext cx="1371600" cy="381000"/>
        </a:xfrm>
        <a:prstGeom prst="rect">
          <a:avLst/>
        </a:prstGeom>
        <a:solidFill>
          <a:schemeClr val="accent3">
            <a:lumMod val="40000"/>
            <a:lumOff val="60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nl-NL" sz="1600">
              <a:solidFill>
                <a:schemeClr val="tx1"/>
              </a:solidFill>
            </a:rPr>
            <a:t>Code</a:t>
          </a:r>
          <a:r>
            <a:rPr lang="nl-NL" sz="1600" baseline="0">
              <a:solidFill>
                <a:schemeClr val="tx1"/>
              </a:solidFill>
            </a:rPr>
            <a:t> copied!</a:t>
          </a:r>
        </a:p>
        <a:p>
          <a:pPr algn="l"/>
          <a:endParaRPr lang="nl-NL" sz="1600">
            <a:solidFill>
              <a:schemeClr val="tx1"/>
            </a:solidFill>
          </a:endParaRPr>
        </a:p>
      </xdr:txBody>
    </xdr:sp>
    <xdr:clientData/>
  </xdr:twoCellAnchor>
</xdr:wsDr>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6ED1425-7D44-514E-A18D-B67DA5639669}">
  <we:reference id="wa104381504" version="1.0.0.0" store="nl-NL"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B93CA-CFC5-A94E-B6A9-26265CC42281}">
  <sheetPr codeName="Blad4"/>
  <dimension ref="A1"/>
  <sheetViews>
    <sheetView tabSelected="1" workbookViewId="0">
      <selection activeCell="K4" sqref="K4"/>
    </sheetView>
  </sheetViews>
  <sheetFormatPr baseColWidth="10" defaultRowHeight="16"/>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59F85-2608-414E-8539-54CFBFA6F5F9}">
  <sheetPr codeName="Blad2"/>
  <dimension ref="A1:D202"/>
  <sheetViews>
    <sheetView workbookViewId="0">
      <selection activeCell="D13" sqref="D13"/>
    </sheetView>
  </sheetViews>
  <sheetFormatPr baseColWidth="10" defaultRowHeight="16"/>
  <cols>
    <col min="1" max="1" width="24.83203125" customWidth="1"/>
    <col min="2" max="2" width="22" customWidth="1"/>
    <col min="3" max="3" width="45.83203125" customWidth="1"/>
    <col min="4" max="4" width="50.1640625" customWidth="1"/>
  </cols>
  <sheetData>
    <row r="1" spans="1:4">
      <c r="A1" s="1" t="s">
        <v>11</v>
      </c>
      <c r="B1" s="1" t="s">
        <v>12</v>
      </c>
      <c r="C1" s="1" t="s">
        <v>17</v>
      </c>
      <c r="D1" s="1" t="s">
        <v>22</v>
      </c>
    </row>
    <row r="2" spans="1:4" ht="19">
      <c r="A2" s="12" t="s">
        <v>25</v>
      </c>
      <c r="B2" s="12" t="s">
        <v>36</v>
      </c>
      <c r="C2" s="13" t="s">
        <v>18</v>
      </c>
      <c r="D2" t="str">
        <f t="shared" ref="D2:D7" si="0">IF(ISBLANK(A2)," ",CONCATENATE("\DeclareSIUnit[]",B2,"{",C2,"}"))</f>
        <v>\DeclareSIUnit[]\kgpermthree{\kg\per\cubic\meter}</v>
      </c>
    </row>
    <row r="3" spans="1:4" ht="19">
      <c r="A3" s="12" t="s">
        <v>24</v>
      </c>
      <c r="B3" s="12" t="s">
        <v>37</v>
      </c>
      <c r="C3" s="13" t="s">
        <v>19</v>
      </c>
      <c r="D3" t="str">
        <f t="shared" si="0"/>
        <v>\DeclareSIUnit[]\mpers{\meter\per\second}</v>
      </c>
    </row>
    <row r="4" spans="1:4">
      <c r="A4" s="12" t="s">
        <v>23</v>
      </c>
      <c r="B4" s="12" t="s">
        <v>38</v>
      </c>
      <c r="C4" s="13" t="s">
        <v>20</v>
      </c>
      <c r="D4" t="str">
        <f t="shared" si="0"/>
        <v>\DeclareSIUnit[]\patimess{\pascal\second}</v>
      </c>
    </row>
    <row r="5" spans="1:4">
      <c r="A5" s="12" t="s">
        <v>21</v>
      </c>
      <c r="B5" s="12" t="s">
        <v>39</v>
      </c>
      <c r="C5" s="13" t="s">
        <v>21</v>
      </c>
      <c r="D5" t="str">
        <f t="shared" si="0"/>
        <v>\DeclareSIUnit[]\nodimension{-}</v>
      </c>
    </row>
    <row r="6" spans="1:4" ht="19">
      <c r="A6" s="12" t="s">
        <v>50</v>
      </c>
      <c r="B6" s="12" t="s">
        <v>51</v>
      </c>
      <c r="C6" s="13" t="s">
        <v>49</v>
      </c>
      <c r="D6" t="str">
        <f t="shared" si="0"/>
        <v>\DeclareSIUnit[]\mperstwo{\meter\per\square\second}</v>
      </c>
    </row>
    <row r="7" spans="1:4">
      <c r="A7" s="12"/>
      <c r="B7" s="12"/>
      <c r="C7" s="12"/>
      <c r="D7" t="str">
        <f t="shared" si="0"/>
        <v xml:space="preserve"> </v>
      </c>
    </row>
    <row r="8" spans="1:4">
      <c r="A8" s="12"/>
      <c r="B8" s="12"/>
      <c r="C8" s="12"/>
      <c r="D8" t="str">
        <f t="shared" ref="D8:D33" si="1">IF(ISBLANK(A8)," ",CONCATENATE("\DeclareSIUnit[]",B8,"{",C8,"}"))</f>
        <v xml:space="preserve"> </v>
      </c>
    </row>
    <row r="9" spans="1:4">
      <c r="A9" s="12"/>
      <c r="B9" s="12"/>
      <c r="C9" s="12"/>
      <c r="D9" t="str">
        <f t="shared" si="1"/>
        <v xml:space="preserve"> </v>
      </c>
    </row>
    <row r="10" spans="1:4">
      <c r="A10" s="12"/>
      <c r="B10" s="12"/>
      <c r="C10" s="12"/>
      <c r="D10" t="str">
        <f t="shared" si="1"/>
        <v xml:space="preserve"> </v>
      </c>
    </row>
    <row r="11" spans="1:4">
      <c r="A11" s="12"/>
      <c r="B11" s="12"/>
      <c r="C11" s="12"/>
      <c r="D11" t="str">
        <f t="shared" si="1"/>
        <v xml:space="preserve"> </v>
      </c>
    </row>
    <row r="12" spans="1:4">
      <c r="A12" s="12"/>
      <c r="B12" s="12"/>
      <c r="C12" s="12"/>
      <c r="D12" t="str">
        <f t="shared" si="1"/>
        <v xml:space="preserve"> </v>
      </c>
    </row>
    <row r="13" spans="1:4">
      <c r="A13" s="12"/>
      <c r="B13" s="12"/>
      <c r="C13" s="12"/>
      <c r="D13" t="str">
        <f t="shared" si="1"/>
        <v xml:space="preserve"> </v>
      </c>
    </row>
    <row r="14" spans="1:4">
      <c r="A14" s="12"/>
      <c r="B14" s="12"/>
      <c r="C14" s="12"/>
      <c r="D14" t="str">
        <f t="shared" si="1"/>
        <v xml:space="preserve"> </v>
      </c>
    </row>
    <row r="15" spans="1:4">
      <c r="A15" s="12"/>
      <c r="B15" s="12"/>
      <c r="C15" s="12"/>
      <c r="D15" t="str">
        <f t="shared" si="1"/>
        <v xml:space="preserve"> </v>
      </c>
    </row>
    <row r="16" spans="1:4">
      <c r="A16" s="12"/>
      <c r="B16" s="12"/>
      <c r="C16" s="12"/>
      <c r="D16" t="str">
        <f t="shared" si="1"/>
        <v xml:space="preserve"> </v>
      </c>
    </row>
    <row r="17" spans="1:4">
      <c r="A17" s="12"/>
      <c r="B17" s="12"/>
      <c r="C17" s="12"/>
      <c r="D17" t="str">
        <f t="shared" si="1"/>
        <v xml:space="preserve"> </v>
      </c>
    </row>
    <row r="18" spans="1:4">
      <c r="A18" s="12"/>
      <c r="B18" s="12"/>
      <c r="C18" s="12"/>
      <c r="D18" t="str">
        <f t="shared" si="1"/>
        <v xml:space="preserve"> </v>
      </c>
    </row>
    <row r="19" spans="1:4">
      <c r="A19" s="12"/>
      <c r="B19" s="12"/>
      <c r="C19" s="12"/>
      <c r="D19" t="str">
        <f t="shared" si="1"/>
        <v xml:space="preserve"> </v>
      </c>
    </row>
    <row r="20" spans="1:4">
      <c r="A20" s="12"/>
      <c r="B20" s="12"/>
      <c r="C20" s="12"/>
      <c r="D20" t="str">
        <f t="shared" si="1"/>
        <v xml:space="preserve"> </v>
      </c>
    </row>
    <row r="21" spans="1:4">
      <c r="A21" s="12"/>
      <c r="B21" s="12"/>
      <c r="C21" s="12"/>
      <c r="D21" t="str">
        <f t="shared" si="1"/>
        <v xml:space="preserve"> </v>
      </c>
    </row>
    <row r="22" spans="1:4">
      <c r="A22" s="12"/>
      <c r="B22" s="12"/>
      <c r="C22" s="12"/>
      <c r="D22" t="str">
        <f t="shared" si="1"/>
        <v xml:space="preserve"> </v>
      </c>
    </row>
    <row r="23" spans="1:4">
      <c r="A23" s="12"/>
      <c r="B23" s="12"/>
      <c r="C23" s="12"/>
      <c r="D23" t="str">
        <f t="shared" si="1"/>
        <v xml:space="preserve"> </v>
      </c>
    </row>
    <row r="24" spans="1:4">
      <c r="A24" s="12"/>
      <c r="B24" s="12"/>
      <c r="C24" s="12"/>
      <c r="D24" t="str">
        <f t="shared" si="1"/>
        <v xml:space="preserve"> </v>
      </c>
    </row>
    <row r="25" spans="1:4">
      <c r="A25" s="12"/>
      <c r="B25" s="12"/>
      <c r="C25" s="12"/>
      <c r="D25" t="str">
        <f t="shared" si="1"/>
        <v xml:space="preserve"> </v>
      </c>
    </row>
    <row r="26" spans="1:4">
      <c r="A26" s="12"/>
      <c r="B26" s="12"/>
      <c r="C26" s="12"/>
      <c r="D26" t="str">
        <f t="shared" si="1"/>
        <v xml:space="preserve"> </v>
      </c>
    </row>
    <row r="27" spans="1:4">
      <c r="A27" s="12"/>
      <c r="B27" s="12"/>
      <c r="C27" s="12"/>
      <c r="D27" t="str">
        <f t="shared" si="1"/>
        <v xml:space="preserve"> </v>
      </c>
    </row>
    <row r="28" spans="1:4">
      <c r="A28" s="12"/>
      <c r="B28" s="12"/>
      <c r="C28" s="12"/>
      <c r="D28" t="str">
        <f t="shared" si="1"/>
        <v xml:space="preserve"> </v>
      </c>
    </row>
    <row r="29" spans="1:4">
      <c r="A29" s="12"/>
      <c r="B29" s="12"/>
      <c r="C29" s="12"/>
      <c r="D29" t="str">
        <f t="shared" si="1"/>
        <v xml:space="preserve"> </v>
      </c>
    </row>
    <row r="30" spans="1:4">
      <c r="A30" s="12"/>
      <c r="B30" s="12"/>
      <c r="C30" s="12"/>
      <c r="D30" t="str">
        <f t="shared" si="1"/>
        <v xml:space="preserve"> </v>
      </c>
    </row>
    <row r="31" spans="1:4">
      <c r="A31" s="12"/>
      <c r="B31" s="12"/>
      <c r="C31" s="12"/>
      <c r="D31" t="str">
        <f t="shared" si="1"/>
        <v xml:space="preserve"> </v>
      </c>
    </row>
    <row r="32" spans="1:4">
      <c r="A32" s="12"/>
      <c r="B32" s="12"/>
      <c r="C32" s="12"/>
      <c r="D32" t="str">
        <f t="shared" si="1"/>
        <v xml:space="preserve"> </v>
      </c>
    </row>
    <row r="33" spans="1:4">
      <c r="A33" s="12"/>
      <c r="B33" s="12"/>
      <c r="C33" s="12"/>
      <c r="D33" t="str">
        <f t="shared" si="1"/>
        <v xml:space="preserve"> </v>
      </c>
    </row>
    <row r="34" spans="1:4">
      <c r="A34" s="12"/>
      <c r="B34" s="12"/>
      <c r="C34" s="12"/>
      <c r="D34" t="str">
        <f t="shared" ref="D34:D97" si="2">IF(ISBLANK(A34)," ",CONCATENATE("\DeclareSIUnit[]",B34,"{",C34,"}"))</f>
        <v xml:space="preserve"> </v>
      </c>
    </row>
    <row r="35" spans="1:4">
      <c r="A35" s="12"/>
      <c r="B35" s="12"/>
      <c r="C35" s="12"/>
      <c r="D35" t="str">
        <f t="shared" si="2"/>
        <v xml:space="preserve"> </v>
      </c>
    </row>
    <row r="36" spans="1:4">
      <c r="A36" s="12"/>
      <c r="B36" s="12"/>
      <c r="C36" s="12"/>
      <c r="D36" t="str">
        <f t="shared" si="2"/>
        <v xml:space="preserve"> </v>
      </c>
    </row>
    <row r="37" spans="1:4">
      <c r="A37" s="12"/>
      <c r="B37" s="12"/>
      <c r="C37" s="12"/>
      <c r="D37" t="str">
        <f t="shared" si="2"/>
        <v xml:space="preserve"> </v>
      </c>
    </row>
    <row r="38" spans="1:4">
      <c r="A38" s="12"/>
      <c r="B38" s="12"/>
      <c r="C38" s="12"/>
      <c r="D38" t="str">
        <f t="shared" si="2"/>
        <v xml:space="preserve"> </v>
      </c>
    </row>
    <row r="39" spans="1:4">
      <c r="A39" s="12"/>
      <c r="B39" s="12"/>
      <c r="C39" s="12"/>
      <c r="D39" t="str">
        <f t="shared" si="2"/>
        <v xml:space="preserve"> </v>
      </c>
    </row>
    <row r="40" spans="1:4">
      <c r="A40" s="12"/>
      <c r="B40" s="12"/>
      <c r="C40" s="12"/>
      <c r="D40" t="str">
        <f t="shared" si="2"/>
        <v xml:space="preserve"> </v>
      </c>
    </row>
    <row r="41" spans="1:4">
      <c r="A41" s="12"/>
      <c r="B41" s="12"/>
      <c r="C41" s="12"/>
      <c r="D41" t="str">
        <f t="shared" si="2"/>
        <v xml:space="preserve"> </v>
      </c>
    </row>
    <row r="42" spans="1:4">
      <c r="A42" s="12"/>
      <c r="B42" s="12"/>
      <c r="C42" s="12"/>
      <c r="D42" t="str">
        <f t="shared" si="2"/>
        <v xml:space="preserve"> </v>
      </c>
    </row>
    <row r="43" spans="1:4">
      <c r="A43" s="12"/>
      <c r="B43" s="12"/>
      <c r="C43" s="12"/>
      <c r="D43" t="str">
        <f t="shared" si="2"/>
        <v xml:space="preserve"> </v>
      </c>
    </row>
    <row r="44" spans="1:4">
      <c r="A44" s="12"/>
      <c r="B44" s="12"/>
      <c r="C44" s="12"/>
      <c r="D44" t="str">
        <f t="shared" si="2"/>
        <v xml:space="preserve"> </v>
      </c>
    </row>
    <row r="45" spans="1:4">
      <c r="A45" s="12"/>
      <c r="B45" s="12"/>
      <c r="C45" s="12"/>
      <c r="D45" t="str">
        <f t="shared" si="2"/>
        <v xml:space="preserve"> </v>
      </c>
    </row>
    <row r="46" spans="1:4">
      <c r="A46" s="12"/>
      <c r="B46" s="12"/>
      <c r="C46" s="12"/>
      <c r="D46" t="str">
        <f t="shared" si="2"/>
        <v xml:space="preserve"> </v>
      </c>
    </row>
    <row r="47" spans="1:4">
      <c r="A47" s="12"/>
      <c r="B47" s="12"/>
      <c r="C47" s="12"/>
      <c r="D47" t="str">
        <f t="shared" si="2"/>
        <v xml:space="preserve"> </v>
      </c>
    </row>
    <row r="48" spans="1:4">
      <c r="A48" s="12"/>
      <c r="B48" s="12"/>
      <c r="C48" s="12"/>
      <c r="D48" t="str">
        <f t="shared" si="2"/>
        <v xml:space="preserve"> </v>
      </c>
    </row>
    <row r="49" spans="1:4">
      <c r="A49" s="12"/>
      <c r="B49" s="12"/>
      <c r="C49" s="12"/>
      <c r="D49" t="str">
        <f t="shared" si="2"/>
        <v xml:space="preserve"> </v>
      </c>
    </row>
    <row r="50" spans="1:4">
      <c r="A50" s="12"/>
      <c r="B50" s="12"/>
      <c r="C50" s="12"/>
      <c r="D50" t="str">
        <f t="shared" si="2"/>
        <v xml:space="preserve"> </v>
      </c>
    </row>
    <row r="51" spans="1:4">
      <c r="A51" s="12"/>
      <c r="B51" s="12"/>
      <c r="C51" s="12"/>
      <c r="D51" t="str">
        <f t="shared" si="2"/>
        <v xml:space="preserve"> </v>
      </c>
    </row>
    <row r="52" spans="1:4">
      <c r="A52" s="12"/>
      <c r="B52" s="12"/>
      <c r="C52" s="12"/>
      <c r="D52" t="str">
        <f t="shared" si="2"/>
        <v xml:space="preserve"> </v>
      </c>
    </row>
    <row r="53" spans="1:4">
      <c r="A53" s="12"/>
      <c r="B53" s="12"/>
      <c r="C53" s="12"/>
      <c r="D53" t="str">
        <f t="shared" si="2"/>
        <v xml:space="preserve"> </v>
      </c>
    </row>
    <row r="54" spans="1:4">
      <c r="A54" s="12"/>
      <c r="B54" s="12"/>
      <c r="C54" s="12"/>
      <c r="D54" t="str">
        <f t="shared" si="2"/>
        <v xml:space="preserve"> </v>
      </c>
    </row>
    <row r="55" spans="1:4">
      <c r="A55" s="12"/>
      <c r="B55" s="12"/>
      <c r="C55" s="12"/>
      <c r="D55" t="str">
        <f t="shared" si="2"/>
        <v xml:space="preserve"> </v>
      </c>
    </row>
    <row r="56" spans="1:4">
      <c r="A56" s="12"/>
      <c r="B56" s="12"/>
      <c r="C56" s="12"/>
      <c r="D56" t="str">
        <f t="shared" si="2"/>
        <v xml:space="preserve"> </v>
      </c>
    </row>
    <row r="57" spans="1:4">
      <c r="A57" s="12"/>
      <c r="B57" s="12"/>
      <c r="C57" s="12"/>
      <c r="D57" t="str">
        <f t="shared" si="2"/>
        <v xml:space="preserve"> </v>
      </c>
    </row>
    <row r="58" spans="1:4">
      <c r="A58" s="12"/>
      <c r="B58" s="12"/>
      <c r="C58" s="12"/>
      <c r="D58" t="str">
        <f t="shared" si="2"/>
        <v xml:space="preserve"> </v>
      </c>
    </row>
    <row r="59" spans="1:4">
      <c r="A59" s="12"/>
      <c r="B59" s="12"/>
      <c r="C59" s="12"/>
      <c r="D59" t="str">
        <f t="shared" si="2"/>
        <v xml:space="preserve"> </v>
      </c>
    </row>
    <row r="60" spans="1:4">
      <c r="A60" s="12"/>
      <c r="B60" s="12"/>
      <c r="C60" s="12"/>
      <c r="D60" t="str">
        <f t="shared" si="2"/>
        <v xml:space="preserve"> </v>
      </c>
    </row>
    <row r="61" spans="1:4">
      <c r="A61" s="12"/>
      <c r="B61" s="12"/>
      <c r="C61" s="12"/>
      <c r="D61" t="str">
        <f t="shared" si="2"/>
        <v xml:space="preserve"> </v>
      </c>
    </row>
    <row r="62" spans="1:4">
      <c r="A62" s="12"/>
      <c r="B62" s="12"/>
      <c r="C62" s="12"/>
      <c r="D62" t="str">
        <f t="shared" si="2"/>
        <v xml:space="preserve"> </v>
      </c>
    </row>
    <row r="63" spans="1:4">
      <c r="A63" s="12"/>
      <c r="B63" s="12"/>
      <c r="C63" s="12"/>
      <c r="D63" t="str">
        <f t="shared" si="2"/>
        <v xml:space="preserve"> </v>
      </c>
    </row>
    <row r="64" spans="1:4">
      <c r="A64" s="12"/>
      <c r="B64" s="12"/>
      <c r="C64" s="12"/>
      <c r="D64" t="str">
        <f t="shared" si="2"/>
        <v xml:space="preserve"> </v>
      </c>
    </row>
    <row r="65" spans="1:4">
      <c r="A65" s="12"/>
      <c r="B65" s="12"/>
      <c r="C65" s="12"/>
      <c r="D65" t="str">
        <f t="shared" si="2"/>
        <v xml:space="preserve"> </v>
      </c>
    </row>
    <row r="66" spans="1:4">
      <c r="A66" s="12"/>
      <c r="B66" s="12"/>
      <c r="C66" s="12"/>
      <c r="D66" t="str">
        <f t="shared" si="2"/>
        <v xml:space="preserve"> </v>
      </c>
    </row>
    <row r="67" spans="1:4">
      <c r="A67" s="12"/>
      <c r="B67" s="12"/>
      <c r="C67" s="12"/>
      <c r="D67" t="str">
        <f t="shared" si="2"/>
        <v xml:space="preserve"> </v>
      </c>
    </row>
    <row r="68" spans="1:4">
      <c r="A68" s="12"/>
      <c r="B68" s="12"/>
      <c r="C68" s="12"/>
      <c r="D68" t="str">
        <f t="shared" si="2"/>
        <v xml:space="preserve"> </v>
      </c>
    </row>
    <row r="69" spans="1:4">
      <c r="A69" s="12"/>
      <c r="B69" s="12"/>
      <c r="C69" s="12"/>
      <c r="D69" t="str">
        <f t="shared" si="2"/>
        <v xml:space="preserve"> </v>
      </c>
    </row>
    <row r="70" spans="1:4">
      <c r="A70" s="12"/>
      <c r="B70" s="12"/>
      <c r="C70" s="12"/>
      <c r="D70" t="str">
        <f t="shared" si="2"/>
        <v xml:space="preserve"> </v>
      </c>
    </row>
    <row r="71" spans="1:4">
      <c r="A71" s="12"/>
      <c r="B71" s="12"/>
      <c r="C71" s="12"/>
      <c r="D71" t="str">
        <f t="shared" si="2"/>
        <v xml:space="preserve"> </v>
      </c>
    </row>
    <row r="72" spans="1:4">
      <c r="A72" s="12"/>
      <c r="B72" s="12"/>
      <c r="C72" s="12"/>
      <c r="D72" t="str">
        <f t="shared" si="2"/>
        <v xml:space="preserve"> </v>
      </c>
    </row>
    <row r="73" spans="1:4">
      <c r="A73" s="12"/>
      <c r="B73" s="12"/>
      <c r="C73" s="12"/>
      <c r="D73" t="str">
        <f t="shared" si="2"/>
        <v xml:space="preserve"> </v>
      </c>
    </row>
    <row r="74" spans="1:4">
      <c r="A74" s="12"/>
      <c r="B74" s="12"/>
      <c r="C74" s="12"/>
      <c r="D74" t="str">
        <f t="shared" si="2"/>
        <v xml:space="preserve"> </v>
      </c>
    </row>
    <row r="75" spans="1:4">
      <c r="A75" s="12"/>
      <c r="B75" s="12"/>
      <c r="C75" s="12"/>
      <c r="D75" t="str">
        <f t="shared" si="2"/>
        <v xml:space="preserve"> </v>
      </c>
    </row>
    <row r="76" spans="1:4">
      <c r="A76" s="12"/>
      <c r="B76" s="12"/>
      <c r="C76" s="12"/>
      <c r="D76" t="str">
        <f t="shared" si="2"/>
        <v xml:space="preserve"> </v>
      </c>
    </row>
    <row r="77" spans="1:4">
      <c r="A77" s="12"/>
      <c r="B77" s="12"/>
      <c r="C77" s="12"/>
      <c r="D77" t="str">
        <f t="shared" si="2"/>
        <v xml:space="preserve"> </v>
      </c>
    </row>
    <row r="78" spans="1:4">
      <c r="A78" s="12"/>
      <c r="B78" s="12"/>
      <c r="C78" s="12"/>
      <c r="D78" t="str">
        <f t="shared" si="2"/>
        <v xml:space="preserve"> </v>
      </c>
    </row>
    <row r="79" spans="1:4">
      <c r="A79" s="12"/>
      <c r="B79" s="12"/>
      <c r="C79" s="12"/>
      <c r="D79" t="str">
        <f t="shared" si="2"/>
        <v xml:space="preserve"> </v>
      </c>
    </row>
    <row r="80" spans="1:4">
      <c r="A80" s="12"/>
      <c r="B80" s="12"/>
      <c r="C80" s="12"/>
      <c r="D80" t="str">
        <f t="shared" si="2"/>
        <v xml:space="preserve"> </v>
      </c>
    </row>
    <row r="81" spans="1:4">
      <c r="A81" s="12"/>
      <c r="B81" s="12"/>
      <c r="C81" s="12"/>
      <c r="D81" t="str">
        <f t="shared" si="2"/>
        <v xml:space="preserve"> </v>
      </c>
    </row>
    <row r="82" spans="1:4">
      <c r="A82" s="12"/>
      <c r="B82" s="12"/>
      <c r="C82" s="12"/>
      <c r="D82" t="str">
        <f t="shared" si="2"/>
        <v xml:space="preserve"> </v>
      </c>
    </row>
    <row r="83" spans="1:4">
      <c r="A83" s="12"/>
      <c r="B83" s="12"/>
      <c r="C83" s="12"/>
      <c r="D83" t="str">
        <f t="shared" si="2"/>
        <v xml:space="preserve"> </v>
      </c>
    </row>
    <row r="84" spans="1:4">
      <c r="A84" s="12"/>
      <c r="B84" s="12"/>
      <c r="C84" s="12"/>
      <c r="D84" t="str">
        <f t="shared" si="2"/>
        <v xml:space="preserve"> </v>
      </c>
    </row>
    <row r="85" spans="1:4">
      <c r="A85" s="12"/>
      <c r="B85" s="12"/>
      <c r="C85" s="12"/>
      <c r="D85" t="str">
        <f t="shared" si="2"/>
        <v xml:space="preserve"> </v>
      </c>
    </row>
    <row r="86" spans="1:4">
      <c r="A86" s="12"/>
      <c r="B86" s="12"/>
      <c r="C86" s="12"/>
      <c r="D86" t="str">
        <f t="shared" si="2"/>
        <v xml:space="preserve"> </v>
      </c>
    </row>
    <row r="87" spans="1:4">
      <c r="A87" s="12"/>
      <c r="B87" s="12"/>
      <c r="C87" s="12"/>
      <c r="D87" t="str">
        <f t="shared" si="2"/>
        <v xml:space="preserve"> </v>
      </c>
    </row>
    <row r="88" spans="1:4">
      <c r="A88" s="12"/>
      <c r="B88" s="12"/>
      <c r="C88" s="12"/>
      <c r="D88" t="str">
        <f t="shared" si="2"/>
        <v xml:space="preserve"> </v>
      </c>
    </row>
    <row r="89" spans="1:4">
      <c r="A89" s="12"/>
      <c r="B89" s="12"/>
      <c r="C89" s="12"/>
      <c r="D89" t="str">
        <f t="shared" si="2"/>
        <v xml:space="preserve"> </v>
      </c>
    </row>
    <row r="90" spans="1:4">
      <c r="A90" s="12"/>
      <c r="B90" s="12"/>
      <c r="C90" s="12"/>
      <c r="D90" t="str">
        <f t="shared" si="2"/>
        <v xml:space="preserve"> </v>
      </c>
    </row>
    <row r="91" spans="1:4">
      <c r="A91" s="12"/>
      <c r="B91" s="12"/>
      <c r="C91" s="12"/>
      <c r="D91" t="str">
        <f t="shared" si="2"/>
        <v xml:space="preserve"> </v>
      </c>
    </row>
    <row r="92" spans="1:4">
      <c r="A92" s="12"/>
      <c r="B92" s="12"/>
      <c r="C92" s="12"/>
      <c r="D92" t="str">
        <f t="shared" si="2"/>
        <v xml:space="preserve"> </v>
      </c>
    </row>
    <row r="93" spans="1:4">
      <c r="A93" s="12"/>
      <c r="B93" s="12"/>
      <c r="C93" s="12"/>
      <c r="D93" t="str">
        <f t="shared" si="2"/>
        <v xml:space="preserve"> </v>
      </c>
    </row>
    <row r="94" spans="1:4">
      <c r="A94" s="12"/>
      <c r="B94" s="12"/>
      <c r="C94" s="12"/>
      <c r="D94" t="str">
        <f t="shared" si="2"/>
        <v xml:space="preserve"> </v>
      </c>
    </row>
    <row r="95" spans="1:4">
      <c r="A95" s="12"/>
      <c r="B95" s="12"/>
      <c r="C95" s="12"/>
      <c r="D95" t="str">
        <f t="shared" si="2"/>
        <v xml:space="preserve"> </v>
      </c>
    </row>
    <row r="96" spans="1:4">
      <c r="A96" s="12"/>
      <c r="B96" s="12"/>
      <c r="C96" s="12"/>
      <c r="D96" t="str">
        <f t="shared" si="2"/>
        <v xml:space="preserve"> </v>
      </c>
    </row>
    <row r="97" spans="1:4">
      <c r="A97" s="12"/>
      <c r="B97" s="12"/>
      <c r="C97" s="12"/>
      <c r="D97" t="str">
        <f t="shared" si="2"/>
        <v xml:space="preserve"> </v>
      </c>
    </row>
    <row r="98" spans="1:4">
      <c r="A98" s="12"/>
      <c r="B98" s="12"/>
      <c r="C98" s="12"/>
      <c r="D98" t="str">
        <f t="shared" ref="D98:D119" si="3">IF(ISBLANK(A98)," ",CONCATENATE("\DeclareSIUnit[]",B98,"{",C98,"}"))</f>
        <v xml:space="preserve"> </v>
      </c>
    </row>
    <row r="99" spans="1:4">
      <c r="A99" s="12"/>
      <c r="B99" s="12"/>
      <c r="C99" s="12"/>
      <c r="D99" t="str">
        <f t="shared" si="3"/>
        <v xml:space="preserve"> </v>
      </c>
    </row>
    <row r="100" spans="1:4">
      <c r="A100" s="12"/>
      <c r="B100" s="12"/>
      <c r="C100" s="12"/>
      <c r="D100" t="str">
        <f t="shared" si="3"/>
        <v xml:space="preserve"> </v>
      </c>
    </row>
    <row r="101" spans="1:4">
      <c r="A101" s="12"/>
      <c r="B101" s="12"/>
      <c r="C101" s="12"/>
      <c r="D101" t="str">
        <f t="shared" si="3"/>
        <v xml:space="preserve"> </v>
      </c>
    </row>
    <row r="102" spans="1:4">
      <c r="A102" s="12"/>
      <c r="B102" s="12"/>
      <c r="C102" s="12"/>
      <c r="D102" t="str">
        <f t="shared" si="3"/>
        <v xml:space="preserve"> </v>
      </c>
    </row>
    <row r="103" spans="1:4">
      <c r="A103" s="12"/>
      <c r="B103" s="12"/>
      <c r="C103" s="12"/>
      <c r="D103" t="str">
        <f t="shared" si="3"/>
        <v xml:space="preserve"> </v>
      </c>
    </row>
    <row r="104" spans="1:4">
      <c r="A104" s="12"/>
      <c r="B104" s="12"/>
      <c r="C104" s="12"/>
      <c r="D104" t="str">
        <f t="shared" si="3"/>
        <v xml:space="preserve"> </v>
      </c>
    </row>
    <row r="105" spans="1:4">
      <c r="A105" s="12"/>
      <c r="B105" s="12"/>
      <c r="C105" s="12"/>
      <c r="D105" t="str">
        <f t="shared" si="3"/>
        <v xml:space="preserve"> </v>
      </c>
    </row>
    <row r="106" spans="1:4">
      <c r="A106" s="12"/>
      <c r="B106" s="12"/>
      <c r="C106" s="12"/>
      <c r="D106" t="str">
        <f t="shared" si="3"/>
        <v xml:space="preserve"> </v>
      </c>
    </row>
    <row r="107" spans="1:4">
      <c r="A107" s="12"/>
      <c r="B107" s="12"/>
      <c r="C107" s="12"/>
      <c r="D107" t="str">
        <f t="shared" si="3"/>
        <v xml:space="preserve"> </v>
      </c>
    </row>
    <row r="108" spans="1:4">
      <c r="A108" s="12"/>
      <c r="B108" s="12"/>
      <c r="C108" s="12"/>
      <c r="D108" t="str">
        <f t="shared" si="3"/>
        <v xml:space="preserve"> </v>
      </c>
    </row>
    <row r="109" spans="1:4">
      <c r="A109" s="12"/>
      <c r="B109" s="12"/>
      <c r="C109" s="12"/>
      <c r="D109" t="str">
        <f t="shared" si="3"/>
        <v xml:space="preserve"> </v>
      </c>
    </row>
    <row r="110" spans="1:4">
      <c r="A110" s="12"/>
      <c r="B110" s="12"/>
      <c r="C110" s="12"/>
      <c r="D110" t="str">
        <f t="shared" si="3"/>
        <v xml:space="preserve"> </v>
      </c>
    </row>
    <row r="111" spans="1:4">
      <c r="A111" s="12"/>
      <c r="B111" s="12"/>
      <c r="C111" s="12"/>
      <c r="D111" t="str">
        <f t="shared" si="3"/>
        <v xml:space="preserve"> </v>
      </c>
    </row>
    <row r="112" spans="1:4">
      <c r="A112" s="12"/>
      <c r="B112" s="12"/>
      <c r="C112" s="12"/>
      <c r="D112" t="str">
        <f t="shared" si="3"/>
        <v xml:space="preserve"> </v>
      </c>
    </row>
    <row r="113" spans="1:4">
      <c r="A113" s="12"/>
      <c r="B113" s="12"/>
      <c r="C113" s="12"/>
      <c r="D113" t="str">
        <f t="shared" si="3"/>
        <v xml:space="preserve"> </v>
      </c>
    </row>
    <row r="114" spans="1:4">
      <c r="A114" s="12"/>
      <c r="B114" s="12"/>
      <c r="C114" s="12"/>
      <c r="D114" t="str">
        <f t="shared" si="3"/>
        <v xml:space="preserve"> </v>
      </c>
    </row>
    <row r="115" spans="1:4">
      <c r="A115" s="12"/>
      <c r="B115" s="12"/>
      <c r="C115" s="12"/>
      <c r="D115" t="str">
        <f t="shared" si="3"/>
        <v xml:space="preserve"> </v>
      </c>
    </row>
    <row r="116" spans="1:4">
      <c r="A116" s="12"/>
      <c r="B116" s="12"/>
      <c r="C116" s="12"/>
      <c r="D116" t="str">
        <f t="shared" si="3"/>
        <v xml:space="preserve"> </v>
      </c>
    </row>
    <row r="117" spans="1:4">
      <c r="A117" s="12"/>
      <c r="B117" s="12"/>
      <c r="C117" s="12"/>
      <c r="D117" t="str">
        <f t="shared" si="3"/>
        <v xml:space="preserve"> </v>
      </c>
    </row>
    <row r="118" spans="1:4">
      <c r="A118" s="12"/>
      <c r="B118" s="12"/>
      <c r="C118" s="12"/>
      <c r="D118" t="str">
        <f t="shared" si="3"/>
        <v xml:space="preserve"> </v>
      </c>
    </row>
    <row r="119" spans="1:4">
      <c r="A119" s="12"/>
      <c r="B119" s="12"/>
      <c r="C119" s="12"/>
      <c r="D119" t="str">
        <f t="shared" si="3"/>
        <v xml:space="preserve"> </v>
      </c>
    </row>
    <row r="120" spans="1:4">
      <c r="A120" s="12"/>
      <c r="B120" s="12"/>
      <c r="C120" s="12"/>
      <c r="D120" t="str">
        <f t="shared" ref="D120:D183" si="4">IF(ISBLANK(A120)," ",CONCATENATE("\DeclareSIUnit[]",B120,"{",C120,"}"))</f>
        <v xml:space="preserve"> </v>
      </c>
    </row>
    <row r="121" spans="1:4">
      <c r="A121" s="12"/>
      <c r="B121" s="12"/>
      <c r="C121" s="12"/>
      <c r="D121" t="str">
        <f t="shared" si="4"/>
        <v xml:space="preserve"> </v>
      </c>
    </row>
    <row r="122" spans="1:4">
      <c r="A122" s="12"/>
      <c r="B122" s="12"/>
      <c r="C122" s="12"/>
      <c r="D122" t="str">
        <f t="shared" si="4"/>
        <v xml:space="preserve"> </v>
      </c>
    </row>
    <row r="123" spans="1:4">
      <c r="A123" s="12"/>
      <c r="B123" s="12"/>
      <c r="C123" s="12"/>
      <c r="D123" t="str">
        <f t="shared" si="4"/>
        <v xml:space="preserve"> </v>
      </c>
    </row>
    <row r="124" spans="1:4">
      <c r="A124" s="12"/>
      <c r="B124" s="12"/>
      <c r="C124" s="12"/>
      <c r="D124" t="str">
        <f t="shared" si="4"/>
        <v xml:space="preserve"> </v>
      </c>
    </row>
    <row r="125" spans="1:4">
      <c r="A125" s="12"/>
      <c r="B125" s="12"/>
      <c r="C125" s="12"/>
      <c r="D125" t="str">
        <f t="shared" si="4"/>
        <v xml:space="preserve"> </v>
      </c>
    </row>
    <row r="126" spans="1:4">
      <c r="A126" s="12"/>
      <c r="B126" s="12"/>
      <c r="C126" s="12"/>
      <c r="D126" t="str">
        <f t="shared" si="4"/>
        <v xml:space="preserve"> </v>
      </c>
    </row>
    <row r="127" spans="1:4">
      <c r="A127" s="12"/>
      <c r="B127" s="12"/>
      <c r="C127" s="12"/>
      <c r="D127" t="str">
        <f t="shared" si="4"/>
        <v xml:space="preserve"> </v>
      </c>
    </row>
    <row r="128" spans="1:4">
      <c r="A128" s="12"/>
      <c r="B128" s="12"/>
      <c r="C128" s="12"/>
      <c r="D128" t="str">
        <f t="shared" si="4"/>
        <v xml:space="preserve"> </v>
      </c>
    </row>
    <row r="129" spans="1:4">
      <c r="A129" s="12"/>
      <c r="B129" s="12"/>
      <c r="C129" s="12"/>
      <c r="D129" t="str">
        <f t="shared" si="4"/>
        <v xml:space="preserve"> </v>
      </c>
    </row>
    <row r="130" spans="1:4">
      <c r="A130" s="12"/>
      <c r="B130" s="12"/>
      <c r="C130" s="12"/>
      <c r="D130" t="str">
        <f t="shared" si="4"/>
        <v xml:space="preserve"> </v>
      </c>
    </row>
    <row r="131" spans="1:4">
      <c r="A131" s="12"/>
      <c r="B131" s="12"/>
      <c r="C131" s="12"/>
      <c r="D131" t="str">
        <f t="shared" si="4"/>
        <v xml:space="preserve"> </v>
      </c>
    </row>
    <row r="132" spans="1:4">
      <c r="A132" s="12"/>
      <c r="B132" s="12"/>
      <c r="C132" s="12"/>
      <c r="D132" t="str">
        <f t="shared" si="4"/>
        <v xml:space="preserve"> </v>
      </c>
    </row>
    <row r="133" spans="1:4">
      <c r="A133" s="12"/>
      <c r="B133" s="12"/>
      <c r="C133" s="12"/>
      <c r="D133" t="str">
        <f t="shared" si="4"/>
        <v xml:space="preserve"> </v>
      </c>
    </row>
    <row r="134" spans="1:4">
      <c r="A134" s="12"/>
      <c r="B134" s="12"/>
      <c r="C134" s="12"/>
      <c r="D134" t="str">
        <f t="shared" si="4"/>
        <v xml:space="preserve"> </v>
      </c>
    </row>
    <row r="135" spans="1:4">
      <c r="A135" s="12"/>
      <c r="B135" s="12"/>
      <c r="C135" s="12"/>
      <c r="D135" t="str">
        <f t="shared" si="4"/>
        <v xml:space="preserve"> </v>
      </c>
    </row>
    <row r="136" spans="1:4">
      <c r="A136" s="12"/>
      <c r="B136" s="12"/>
      <c r="C136" s="12"/>
      <c r="D136" t="str">
        <f t="shared" si="4"/>
        <v xml:space="preserve"> </v>
      </c>
    </row>
    <row r="137" spans="1:4">
      <c r="A137" s="12"/>
      <c r="B137" s="12"/>
      <c r="C137" s="12"/>
      <c r="D137" t="str">
        <f t="shared" si="4"/>
        <v xml:space="preserve"> </v>
      </c>
    </row>
    <row r="138" spans="1:4">
      <c r="A138" s="12"/>
      <c r="B138" s="12"/>
      <c r="C138" s="12"/>
      <c r="D138" t="str">
        <f t="shared" si="4"/>
        <v xml:space="preserve"> </v>
      </c>
    </row>
    <row r="139" spans="1:4">
      <c r="A139" s="12"/>
      <c r="B139" s="12"/>
      <c r="C139" s="12"/>
      <c r="D139" t="str">
        <f t="shared" si="4"/>
        <v xml:space="preserve"> </v>
      </c>
    </row>
    <row r="140" spans="1:4">
      <c r="A140" s="12"/>
      <c r="B140" s="12"/>
      <c r="C140" s="12"/>
      <c r="D140" t="str">
        <f t="shared" si="4"/>
        <v xml:space="preserve"> </v>
      </c>
    </row>
    <row r="141" spans="1:4">
      <c r="A141" s="12"/>
      <c r="B141" s="12"/>
      <c r="C141" s="12"/>
      <c r="D141" t="str">
        <f t="shared" si="4"/>
        <v xml:space="preserve"> </v>
      </c>
    </row>
    <row r="142" spans="1:4">
      <c r="A142" s="12"/>
      <c r="B142" s="12"/>
      <c r="C142" s="12"/>
      <c r="D142" t="str">
        <f t="shared" si="4"/>
        <v xml:space="preserve"> </v>
      </c>
    </row>
    <row r="143" spans="1:4">
      <c r="A143" s="12"/>
      <c r="B143" s="12"/>
      <c r="C143" s="12"/>
      <c r="D143" t="str">
        <f t="shared" si="4"/>
        <v xml:space="preserve"> </v>
      </c>
    </row>
    <row r="144" spans="1:4">
      <c r="A144" s="12"/>
      <c r="B144" s="12"/>
      <c r="C144" s="12"/>
      <c r="D144" t="str">
        <f t="shared" si="4"/>
        <v xml:space="preserve"> </v>
      </c>
    </row>
    <row r="145" spans="1:4">
      <c r="A145" s="12"/>
      <c r="B145" s="12"/>
      <c r="C145" s="12"/>
      <c r="D145" t="str">
        <f t="shared" si="4"/>
        <v xml:space="preserve"> </v>
      </c>
    </row>
    <row r="146" spans="1:4">
      <c r="A146" s="12"/>
      <c r="B146" s="12"/>
      <c r="C146" s="12"/>
      <c r="D146" t="str">
        <f t="shared" si="4"/>
        <v xml:space="preserve"> </v>
      </c>
    </row>
    <row r="147" spans="1:4">
      <c r="A147" s="12"/>
      <c r="B147" s="12"/>
      <c r="C147" s="12"/>
      <c r="D147" t="str">
        <f t="shared" si="4"/>
        <v xml:space="preserve"> </v>
      </c>
    </row>
    <row r="148" spans="1:4">
      <c r="A148" s="12"/>
      <c r="B148" s="12"/>
      <c r="C148" s="12"/>
      <c r="D148" t="str">
        <f t="shared" si="4"/>
        <v xml:space="preserve"> </v>
      </c>
    </row>
    <row r="149" spans="1:4">
      <c r="A149" s="12"/>
      <c r="B149" s="12"/>
      <c r="C149" s="12"/>
      <c r="D149" t="str">
        <f t="shared" si="4"/>
        <v xml:space="preserve"> </v>
      </c>
    </row>
    <row r="150" spans="1:4">
      <c r="A150" s="12"/>
      <c r="B150" s="12"/>
      <c r="C150" s="12"/>
      <c r="D150" t="str">
        <f t="shared" si="4"/>
        <v xml:space="preserve"> </v>
      </c>
    </row>
    <row r="151" spans="1:4">
      <c r="A151" s="12"/>
      <c r="B151" s="12"/>
      <c r="C151" s="12"/>
      <c r="D151" t="str">
        <f t="shared" si="4"/>
        <v xml:space="preserve"> </v>
      </c>
    </row>
    <row r="152" spans="1:4">
      <c r="A152" s="12"/>
      <c r="B152" s="12"/>
      <c r="C152" s="12"/>
      <c r="D152" t="str">
        <f t="shared" si="4"/>
        <v xml:space="preserve"> </v>
      </c>
    </row>
    <row r="153" spans="1:4">
      <c r="A153" s="12"/>
      <c r="B153" s="12"/>
      <c r="C153" s="12"/>
      <c r="D153" t="str">
        <f t="shared" si="4"/>
        <v xml:space="preserve"> </v>
      </c>
    </row>
    <row r="154" spans="1:4">
      <c r="A154" s="12"/>
      <c r="B154" s="12"/>
      <c r="C154" s="12"/>
      <c r="D154" t="str">
        <f t="shared" si="4"/>
        <v xml:space="preserve"> </v>
      </c>
    </row>
    <row r="155" spans="1:4">
      <c r="A155" s="12"/>
      <c r="B155" s="12"/>
      <c r="C155" s="12"/>
      <c r="D155" t="str">
        <f t="shared" si="4"/>
        <v xml:space="preserve"> </v>
      </c>
    </row>
    <row r="156" spans="1:4">
      <c r="A156" s="12"/>
      <c r="B156" s="12"/>
      <c r="C156" s="12"/>
      <c r="D156" t="str">
        <f t="shared" si="4"/>
        <v xml:space="preserve"> </v>
      </c>
    </row>
    <row r="157" spans="1:4">
      <c r="A157" s="12"/>
      <c r="B157" s="12"/>
      <c r="C157" s="12"/>
      <c r="D157" t="str">
        <f t="shared" si="4"/>
        <v xml:space="preserve"> </v>
      </c>
    </row>
    <row r="158" spans="1:4">
      <c r="A158" s="12"/>
      <c r="B158" s="12"/>
      <c r="C158" s="12"/>
      <c r="D158" t="str">
        <f t="shared" si="4"/>
        <v xml:space="preserve"> </v>
      </c>
    </row>
    <row r="159" spans="1:4">
      <c r="A159" s="12"/>
      <c r="B159" s="12"/>
      <c r="C159" s="12"/>
      <c r="D159" t="str">
        <f t="shared" si="4"/>
        <v xml:space="preserve"> </v>
      </c>
    </row>
    <row r="160" spans="1:4">
      <c r="A160" s="12"/>
      <c r="B160" s="12"/>
      <c r="C160" s="12"/>
      <c r="D160" t="str">
        <f t="shared" si="4"/>
        <v xml:space="preserve"> </v>
      </c>
    </row>
    <row r="161" spans="1:4">
      <c r="A161" s="12"/>
      <c r="B161" s="12"/>
      <c r="C161" s="12"/>
      <c r="D161" t="str">
        <f t="shared" si="4"/>
        <v xml:space="preserve"> </v>
      </c>
    </row>
    <row r="162" spans="1:4">
      <c r="A162" s="12"/>
      <c r="B162" s="12"/>
      <c r="C162" s="12"/>
      <c r="D162" t="str">
        <f t="shared" si="4"/>
        <v xml:space="preserve"> </v>
      </c>
    </row>
    <row r="163" spans="1:4">
      <c r="A163" s="12"/>
      <c r="B163" s="12"/>
      <c r="C163" s="12"/>
      <c r="D163" t="str">
        <f t="shared" si="4"/>
        <v xml:space="preserve"> </v>
      </c>
    </row>
    <row r="164" spans="1:4">
      <c r="A164" s="12"/>
      <c r="B164" s="12"/>
      <c r="C164" s="12"/>
      <c r="D164" t="str">
        <f t="shared" si="4"/>
        <v xml:space="preserve"> </v>
      </c>
    </row>
    <row r="165" spans="1:4">
      <c r="A165" s="12"/>
      <c r="B165" s="12"/>
      <c r="C165" s="12"/>
      <c r="D165" t="str">
        <f t="shared" si="4"/>
        <v xml:space="preserve"> </v>
      </c>
    </row>
    <row r="166" spans="1:4">
      <c r="A166" s="12"/>
      <c r="B166" s="12"/>
      <c r="C166" s="12"/>
      <c r="D166" t="str">
        <f t="shared" si="4"/>
        <v xml:space="preserve"> </v>
      </c>
    </row>
    <row r="167" spans="1:4">
      <c r="A167" s="12"/>
      <c r="B167" s="12"/>
      <c r="C167" s="12"/>
      <c r="D167" t="str">
        <f t="shared" si="4"/>
        <v xml:space="preserve"> </v>
      </c>
    </row>
    <row r="168" spans="1:4">
      <c r="A168" s="12"/>
      <c r="B168" s="12"/>
      <c r="C168" s="12"/>
      <c r="D168" t="str">
        <f t="shared" si="4"/>
        <v xml:space="preserve"> </v>
      </c>
    </row>
    <row r="169" spans="1:4">
      <c r="A169" s="12"/>
      <c r="B169" s="12"/>
      <c r="C169" s="12"/>
      <c r="D169" t="str">
        <f t="shared" si="4"/>
        <v xml:space="preserve"> </v>
      </c>
    </row>
    <row r="170" spans="1:4">
      <c r="A170" s="12"/>
      <c r="B170" s="12"/>
      <c r="C170" s="12"/>
      <c r="D170" t="str">
        <f t="shared" si="4"/>
        <v xml:space="preserve"> </v>
      </c>
    </row>
    <row r="171" spans="1:4">
      <c r="A171" s="12"/>
      <c r="B171" s="12"/>
      <c r="C171" s="12"/>
      <c r="D171" t="str">
        <f t="shared" si="4"/>
        <v xml:space="preserve"> </v>
      </c>
    </row>
    <row r="172" spans="1:4">
      <c r="A172" s="12"/>
      <c r="B172" s="12"/>
      <c r="C172" s="12"/>
      <c r="D172" t="str">
        <f t="shared" si="4"/>
        <v xml:space="preserve"> </v>
      </c>
    </row>
    <row r="173" spans="1:4">
      <c r="A173" s="12"/>
      <c r="B173" s="12"/>
      <c r="C173" s="12"/>
      <c r="D173" t="str">
        <f t="shared" si="4"/>
        <v xml:space="preserve"> </v>
      </c>
    </row>
    <row r="174" spans="1:4">
      <c r="A174" s="12"/>
      <c r="B174" s="12"/>
      <c r="C174" s="12"/>
      <c r="D174" t="str">
        <f t="shared" si="4"/>
        <v xml:space="preserve"> </v>
      </c>
    </row>
    <row r="175" spans="1:4">
      <c r="A175" s="12"/>
      <c r="B175" s="12"/>
      <c r="C175" s="12"/>
      <c r="D175" t="str">
        <f t="shared" si="4"/>
        <v xml:space="preserve"> </v>
      </c>
    </row>
    <row r="176" spans="1:4">
      <c r="A176" s="12"/>
      <c r="B176" s="12"/>
      <c r="C176" s="12"/>
      <c r="D176" t="str">
        <f t="shared" si="4"/>
        <v xml:space="preserve"> </v>
      </c>
    </row>
    <row r="177" spans="1:4">
      <c r="A177" s="12"/>
      <c r="B177" s="12"/>
      <c r="C177" s="12"/>
      <c r="D177" t="str">
        <f t="shared" si="4"/>
        <v xml:space="preserve"> </v>
      </c>
    </row>
    <row r="178" spans="1:4">
      <c r="A178" s="12"/>
      <c r="B178" s="12"/>
      <c r="C178" s="12"/>
      <c r="D178" t="str">
        <f t="shared" si="4"/>
        <v xml:space="preserve"> </v>
      </c>
    </row>
    <row r="179" spans="1:4">
      <c r="A179" s="12"/>
      <c r="B179" s="12"/>
      <c r="C179" s="12"/>
      <c r="D179" t="str">
        <f t="shared" si="4"/>
        <v xml:space="preserve"> </v>
      </c>
    </row>
    <row r="180" spans="1:4">
      <c r="A180" s="12"/>
      <c r="B180" s="12"/>
      <c r="C180" s="12"/>
      <c r="D180" t="str">
        <f t="shared" si="4"/>
        <v xml:space="preserve"> </v>
      </c>
    </row>
    <row r="181" spans="1:4">
      <c r="A181" s="12"/>
      <c r="B181" s="12"/>
      <c r="C181" s="12"/>
      <c r="D181" t="str">
        <f t="shared" si="4"/>
        <v xml:space="preserve"> </v>
      </c>
    </row>
    <row r="182" spans="1:4">
      <c r="A182" s="12"/>
      <c r="B182" s="12"/>
      <c r="C182" s="12"/>
      <c r="D182" t="str">
        <f t="shared" si="4"/>
        <v xml:space="preserve"> </v>
      </c>
    </row>
    <row r="183" spans="1:4">
      <c r="A183" s="12"/>
      <c r="B183" s="12"/>
      <c r="C183" s="12"/>
      <c r="D183" t="str">
        <f t="shared" si="4"/>
        <v xml:space="preserve"> </v>
      </c>
    </row>
    <row r="184" spans="1:4">
      <c r="A184" s="12"/>
      <c r="B184" s="12"/>
      <c r="C184" s="12"/>
      <c r="D184" t="str">
        <f t="shared" ref="D184:D201" si="5">IF(ISBLANK(A184)," ",CONCATENATE("\DeclareSIUnit[]",B184,"{",C184,"}"))</f>
        <v xml:space="preserve"> </v>
      </c>
    </row>
    <row r="185" spans="1:4">
      <c r="A185" s="12"/>
      <c r="B185" s="12"/>
      <c r="C185" s="12"/>
      <c r="D185" t="str">
        <f t="shared" si="5"/>
        <v xml:space="preserve"> </v>
      </c>
    </row>
    <row r="186" spans="1:4">
      <c r="A186" s="12"/>
      <c r="B186" s="12"/>
      <c r="C186" s="12"/>
      <c r="D186" t="str">
        <f t="shared" si="5"/>
        <v xml:space="preserve"> </v>
      </c>
    </row>
    <row r="187" spans="1:4">
      <c r="A187" s="12"/>
      <c r="B187" s="12"/>
      <c r="C187" s="12"/>
      <c r="D187" t="str">
        <f t="shared" si="5"/>
        <v xml:space="preserve"> </v>
      </c>
    </row>
    <row r="188" spans="1:4">
      <c r="A188" s="12"/>
      <c r="B188" s="12"/>
      <c r="C188" s="12"/>
      <c r="D188" t="str">
        <f t="shared" si="5"/>
        <v xml:space="preserve"> </v>
      </c>
    </row>
    <row r="189" spans="1:4">
      <c r="A189" s="12"/>
      <c r="B189" s="12"/>
      <c r="C189" s="12"/>
      <c r="D189" t="str">
        <f t="shared" si="5"/>
        <v xml:space="preserve"> </v>
      </c>
    </row>
    <row r="190" spans="1:4">
      <c r="A190" s="53"/>
      <c r="B190" s="12"/>
      <c r="C190" s="12"/>
      <c r="D190" t="str">
        <f t="shared" si="5"/>
        <v xml:space="preserve"> </v>
      </c>
    </row>
    <row r="191" spans="1:4">
      <c r="A191" s="56"/>
      <c r="B191" s="54"/>
      <c r="C191" s="12"/>
      <c r="D191" t="str">
        <f t="shared" si="5"/>
        <v xml:space="preserve"> </v>
      </c>
    </row>
    <row r="192" spans="1:4">
      <c r="A192" s="55"/>
      <c r="B192" s="12"/>
      <c r="C192" s="12"/>
      <c r="D192" t="str">
        <f t="shared" si="5"/>
        <v xml:space="preserve"> </v>
      </c>
    </row>
    <row r="193" spans="1:4">
      <c r="A193" s="12"/>
      <c r="B193" s="12"/>
      <c r="C193" s="12"/>
      <c r="D193" t="str">
        <f t="shared" si="5"/>
        <v xml:space="preserve"> </v>
      </c>
    </row>
    <row r="194" spans="1:4">
      <c r="A194" s="12"/>
      <c r="B194" s="12"/>
      <c r="C194" s="12"/>
      <c r="D194" t="str">
        <f t="shared" si="5"/>
        <v xml:space="preserve"> </v>
      </c>
    </row>
    <row r="195" spans="1:4">
      <c r="A195" s="12"/>
      <c r="B195" s="12"/>
      <c r="C195" s="12"/>
      <c r="D195" t="str">
        <f t="shared" si="5"/>
        <v xml:space="preserve"> </v>
      </c>
    </row>
    <row r="196" spans="1:4">
      <c r="A196" s="12"/>
      <c r="B196" s="12"/>
      <c r="C196" s="12"/>
      <c r="D196" t="str">
        <f t="shared" si="5"/>
        <v xml:space="preserve"> </v>
      </c>
    </row>
    <row r="197" spans="1:4">
      <c r="A197" s="12"/>
      <c r="B197" s="12"/>
      <c r="C197" s="12"/>
      <c r="D197" t="str">
        <f t="shared" si="5"/>
        <v xml:space="preserve"> </v>
      </c>
    </row>
    <row r="198" spans="1:4">
      <c r="A198" s="12"/>
      <c r="B198" s="12"/>
      <c r="C198" s="12"/>
      <c r="D198" t="str">
        <f t="shared" si="5"/>
        <v xml:space="preserve"> </v>
      </c>
    </row>
    <row r="199" spans="1:4">
      <c r="A199" s="12"/>
      <c r="B199" s="12"/>
      <c r="C199" s="12"/>
      <c r="D199" t="str">
        <f t="shared" si="5"/>
        <v xml:space="preserve"> </v>
      </c>
    </row>
    <row r="200" spans="1:4">
      <c r="A200" s="12"/>
      <c r="B200" s="12"/>
      <c r="C200" s="12"/>
      <c r="D200" t="str">
        <f t="shared" si="5"/>
        <v xml:space="preserve"> </v>
      </c>
    </row>
    <row r="201" spans="1:4" s="2" customFormat="1">
      <c r="A201" s="57"/>
      <c r="B201" s="57"/>
      <c r="C201" s="57"/>
      <c r="D201" s="58" t="str">
        <f t="shared" si="5"/>
        <v xml:space="preserve"> </v>
      </c>
    </row>
    <row r="202" spans="1:4">
      <c r="A202" s="9" t="s">
        <v>131</v>
      </c>
    </row>
  </sheetData>
  <sheetProtection sheet="1" sort="0" autoFilter="0"/>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53C6C-3552-5D4E-98C0-8FBA04F220A6}">
  <sheetPr codeName="Blad1"/>
  <dimension ref="A1:M202"/>
  <sheetViews>
    <sheetView workbookViewId="0">
      <selection activeCell="H20" sqref="H20"/>
    </sheetView>
  </sheetViews>
  <sheetFormatPr baseColWidth="10" defaultRowHeight="16"/>
  <cols>
    <col min="1" max="1" width="15.1640625" style="7" customWidth="1"/>
    <col min="2" max="2" width="24.33203125" style="7" customWidth="1"/>
    <col min="3" max="3" width="18.1640625" style="4" customWidth="1"/>
    <col min="4" max="5" width="18.1640625" style="5" hidden="1" customWidth="1"/>
    <col min="6" max="6" width="31" style="4" customWidth="1"/>
    <col min="7" max="7" width="31.5" style="4" customWidth="1"/>
    <col min="8" max="8" width="60.6640625" style="4" customWidth="1"/>
    <col min="9" max="9" width="23.33203125" style="4" customWidth="1"/>
    <col min="10" max="10" width="61.83203125" style="3" customWidth="1"/>
    <col min="11" max="11" width="113.5" style="3" customWidth="1"/>
    <col min="12" max="12" width="109.6640625" style="3" customWidth="1"/>
    <col min="13" max="13" width="30" style="3" customWidth="1"/>
  </cols>
  <sheetData>
    <row r="1" spans="1:13" s="36" customFormat="1" ht="51">
      <c r="A1" s="34" t="s">
        <v>0</v>
      </c>
      <c r="B1" s="37" t="s">
        <v>124</v>
      </c>
      <c r="C1" s="14" t="s">
        <v>69</v>
      </c>
      <c r="D1" s="35" t="s">
        <v>41</v>
      </c>
      <c r="E1" s="35" t="s">
        <v>70</v>
      </c>
      <c r="F1" s="50" t="s">
        <v>125</v>
      </c>
      <c r="G1" s="50" t="s">
        <v>126</v>
      </c>
      <c r="H1" s="14" t="s">
        <v>33</v>
      </c>
      <c r="I1" s="50" t="s">
        <v>127</v>
      </c>
      <c r="J1" s="14" t="s">
        <v>43</v>
      </c>
      <c r="K1" s="14" t="s">
        <v>45</v>
      </c>
      <c r="L1" s="14" t="s">
        <v>132</v>
      </c>
      <c r="M1" s="14" t="s">
        <v>35</v>
      </c>
    </row>
    <row r="2" spans="1:13">
      <c r="A2" s="8" t="s">
        <v>52</v>
      </c>
      <c r="B2" s="8" t="s">
        <v>52</v>
      </c>
      <c r="C2" s="8" t="s">
        <v>52</v>
      </c>
      <c r="D2" s="5" t="str">
        <f t="shared" ref="D2:D10" si="0">IF(ISBLANK(C2)," ",CONCATENATE("{",C2,"}"))</f>
        <v>{Ar}</v>
      </c>
      <c r="E2" s="5" t="str">
        <f ca="1">IF(ISTEXT(C2),IF(D2=INDIRECT("Equations!$B$" &amp; 'Code per Equation'!$G$4+1),"",SEARCH(D2,INDIRECT("Equations!$C$" &amp; 'Code per Equation'!$G$4+1))),"")</f>
        <v/>
      </c>
      <c r="F2" s="8" t="s">
        <v>53</v>
      </c>
      <c r="G2" s="8" t="s">
        <v>54</v>
      </c>
      <c r="H2" s="8" t="s">
        <v>55</v>
      </c>
      <c r="I2" s="8" t="s">
        <v>16</v>
      </c>
      <c r="J2" s="3" t="str">
        <f t="shared" ref="J2:J10" si="1">IF(ISBLANK(C2)," ",CONCATENATE("\newcommand{",F2,"}{",H2,"}"))</f>
        <v>\newcommand{\Dar}{Archimedes number}</v>
      </c>
      <c r="K2" s="3" t="str">
        <f t="shared" ref="K2:K10" si="2">IF(ISBLANK(C2)," ",CONCATENATE("\newglossaryentry{",B2,"}{name={$",C2,"$},description={",F2,"},unit={\si{\",I2,"}},type=symbolslist,sort=","1}"))</f>
        <v>\newglossaryentry{Ar}{name={$Ar$},description={\Dar},unit={\si{\nodimension}},type=symbolslist,sort=1}</v>
      </c>
      <c r="L2" s="3" t="str">
        <f t="shared" ref="L2:L10" si="3">IF(ISBLANK(C2)," ",CONCATENATE("\newcommand{",G2,"}{\parbox[t]{","\widtheqparameter","}","{",F2,"}\hspace{","\widtheqwhitespace","}[\si{","\",I2,"}]}"))</f>
        <v>\newcommand{\Ear}{\parbox[t]{\widtheqparameter}{\Dar}\hspace{\widtheqwhitespace}[\si{\nodimension}]}</v>
      </c>
      <c r="M2" s="3" t="str">
        <f t="shared" ref="M2:M10" si="4">IF(ISBLANK(C2)," ",CONCATENATE(C2," &amp; ",G2," \\"))</f>
        <v>Ar &amp; \Ear \\</v>
      </c>
    </row>
    <row r="3" spans="1:13">
      <c r="A3" s="8" t="s">
        <v>63</v>
      </c>
      <c r="B3" s="8" t="s">
        <v>63</v>
      </c>
      <c r="C3" s="8" t="s">
        <v>63</v>
      </c>
      <c r="D3" s="5" t="str">
        <f t="shared" si="0"/>
        <v>{g}</v>
      </c>
      <c r="E3" s="5">
        <f ca="1">IF(ISTEXT(C3),IF(D3=INDIRECT("Equations!$B$" &amp; 'Code per Equation'!$G$4+1),"",SEARCH(D3,INDIRECT("Equations!$C$" &amp; 'Code per Equation'!$G$4+1))),"")</f>
        <v>37</v>
      </c>
      <c r="F3" s="8" t="s">
        <v>64</v>
      </c>
      <c r="G3" s="8" t="s">
        <v>65</v>
      </c>
      <c r="H3" s="8" t="s">
        <v>67</v>
      </c>
      <c r="I3" s="8" t="s">
        <v>66</v>
      </c>
      <c r="J3" s="3" t="str">
        <f t="shared" si="1"/>
        <v>\newcommand{\Dg}{gravitational acceleration}</v>
      </c>
      <c r="K3" s="3" t="str">
        <f t="shared" si="2"/>
        <v>\newglossaryentry{g}{name={$g$},description={\Dg},unit={\si{\mperstwo}},type=symbolslist,sort=1}</v>
      </c>
      <c r="L3" s="3" t="str">
        <f t="shared" si="3"/>
        <v>\newcommand{\Eg}{\parbox[t]{\widtheqparameter}{\Dg}\hspace{\widtheqwhitespace}[\si{\mperstwo}]}</v>
      </c>
      <c r="M3" s="3" t="str">
        <f t="shared" si="4"/>
        <v>g &amp; \Eg \\</v>
      </c>
    </row>
    <row r="4" spans="1:13">
      <c r="A4" s="8" t="s">
        <v>9</v>
      </c>
      <c r="B4" s="8" t="s">
        <v>9</v>
      </c>
      <c r="C4" s="8" t="s">
        <v>9</v>
      </c>
      <c r="D4" s="5" t="str">
        <f t="shared" si="0"/>
        <v>{L}</v>
      </c>
      <c r="E4" s="5">
        <f ca="1">IF(ISTEXT(C4),IF(D4=INDIRECT("Equations!$B$" &amp; 'Code per Equation'!$G$4+1),"",SEARCH(D4,INDIRECT("Equations!$C$" &amp; 'Code per Equation'!$G$4+1))),"")</f>
        <v>40</v>
      </c>
      <c r="F4" s="8" t="s">
        <v>5</v>
      </c>
      <c r="G4" s="8" t="s">
        <v>30</v>
      </c>
      <c r="H4" s="8" t="s">
        <v>4</v>
      </c>
      <c r="I4" s="8" t="s">
        <v>68</v>
      </c>
      <c r="J4" s="3" t="str">
        <f t="shared" si="1"/>
        <v>\newcommand{\DL}{characteristic linear dimension}</v>
      </c>
      <c r="K4" s="3" t="str">
        <f t="shared" si="2"/>
        <v>\newglossaryentry{L}{name={$L$},description={\DL},unit={\si{\meter}},type=symbolslist,sort=1}</v>
      </c>
      <c r="L4" s="3" t="str">
        <f t="shared" si="3"/>
        <v>\newcommand{\EL}{\parbox[t]{\widtheqparameter}{\DL}\hspace{\widtheqwhitespace}[\si{\meter}]}</v>
      </c>
      <c r="M4" s="3" t="str">
        <f t="shared" si="4"/>
        <v>L &amp; \EL \\</v>
      </c>
    </row>
    <row r="5" spans="1:13">
      <c r="A5" s="8" t="s">
        <v>10</v>
      </c>
      <c r="B5" s="8" t="s">
        <v>44</v>
      </c>
      <c r="C5" s="8" t="s">
        <v>34</v>
      </c>
      <c r="D5" s="5" t="str">
        <f t="shared" si="0"/>
        <v>{\mu}</v>
      </c>
      <c r="E5" s="5">
        <f ca="1">IF(ISTEXT(C5),IF(D5=INDIRECT("Equations!$B$" &amp; 'Code per Equation'!$G$4+1),"",SEARCH(D5,INDIRECT("Equations!$C$" &amp; 'Code per Equation'!$G$4+1))),"")</f>
        <v>93</v>
      </c>
      <c r="F5" s="8" t="s">
        <v>7</v>
      </c>
      <c r="G5" s="8" t="s">
        <v>31</v>
      </c>
      <c r="H5" s="8" t="s">
        <v>6</v>
      </c>
      <c r="I5" s="8" t="s">
        <v>14</v>
      </c>
      <c r="J5" s="3" t="str">
        <f t="shared" si="1"/>
        <v>\newcommand{\Dmu}{dynamic viscosity of the fluid}</v>
      </c>
      <c r="K5" s="3" t="str">
        <f t="shared" si="2"/>
        <v>\newglossaryentry{mu}{name={$\mu$},description={\Dmu},unit={\si{\patimess}},type=symbolslist,sort=1}</v>
      </c>
      <c r="L5" s="3" t="str">
        <f t="shared" si="3"/>
        <v>\newcommand{\Emu}{\parbox[t]{\widtheqparameter}{\Dmu}\hspace{\widtheqwhitespace}[\si{\patimess}]}</v>
      </c>
      <c r="M5" s="3" t="str">
        <f t="shared" si="4"/>
        <v>\mu &amp; \Emu \\</v>
      </c>
    </row>
    <row r="6" spans="1:13">
      <c r="A6" s="8" t="s">
        <v>26</v>
      </c>
      <c r="B6" s="8" t="s">
        <v>26</v>
      </c>
      <c r="C6" s="8" t="s">
        <v>26</v>
      </c>
      <c r="D6" s="5" t="str">
        <f t="shared" si="0"/>
        <v>{Re}</v>
      </c>
      <c r="E6" s="5" t="e">
        <f ca="1">IF(ISTEXT(C6),IF(D6=INDIRECT("Equations!$B$" &amp; 'Code per Equation'!$G$4+1),"",SEARCH(D6,INDIRECT("Equations!$C$" &amp; 'Code per Equation'!$G$4+1))),"")</f>
        <v>#VALUE!</v>
      </c>
      <c r="F6" s="8" t="s">
        <v>27</v>
      </c>
      <c r="G6" s="8" t="s">
        <v>32</v>
      </c>
      <c r="H6" s="8" t="s">
        <v>28</v>
      </c>
      <c r="I6" s="8" t="s">
        <v>16</v>
      </c>
      <c r="J6" s="3" t="str">
        <f t="shared" si="1"/>
        <v>\newcommand{\Dre}{Reynolds number,  dimensionless quantity}</v>
      </c>
      <c r="K6" s="3" t="str">
        <f t="shared" si="2"/>
        <v>\newglossaryentry{Re}{name={$Re$},description={\Dre},unit={\si{\nodimension}},type=symbolslist,sort=1}</v>
      </c>
      <c r="L6" s="3" t="str">
        <f t="shared" si="3"/>
        <v>\newcommand{\Ere}{\parbox[t]{\widtheqparameter}{\Dre}\hspace{\widtheqwhitespace}[\si{\nodimension}]}</v>
      </c>
      <c r="M6" s="3" t="str">
        <f t="shared" si="4"/>
        <v>Re &amp; \Ere \\</v>
      </c>
    </row>
    <row r="7" spans="1:13">
      <c r="A7" s="8" t="s">
        <v>59</v>
      </c>
      <c r="B7" s="8" t="s">
        <v>123</v>
      </c>
      <c r="C7" s="8" t="s">
        <v>121</v>
      </c>
      <c r="D7" s="5" t="str">
        <f t="shared" si="0"/>
        <v>{\rho_b}</v>
      </c>
      <c r="E7" s="5">
        <f ca="1">IF(ISTEXT(C7),IF(D7=INDIRECT("Equations!$B$" &amp; 'Code per Equation'!$G$4+1),"",SEARCH(D7,INDIRECT("Equations!$C$" &amp; 'Code per Equation'!$G$4+1))),"")</f>
        <v>64</v>
      </c>
      <c r="F7" s="8" t="s">
        <v>60</v>
      </c>
      <c r="G7" s="8" t="s">
        <v>61</v>
      </c>
      <c r="H7" s="8" t="s">
        <v>62</v>
      </c>
      <c r="I7" s="8" t="s">
        <v>13</v>
      </c>
      <c r="J7" s="3" t="str">
        <f t="shared" si="1"/>
        <v>\newcommand{\Drhobody}{density of the body}</v>
      </c>
      <c r="K7" s="3" t="str">
        <f t="shared" si="2"/>
        <v>\newglossaryentry{rhobody}{name={$\rho_b$},description={\Drhobody},unit={\si{\kgpermthree}},type=symbolslist,sort=1}</v>
      </c>
      <c r="L7" s="3" t="str">
        <f t="shared" si="3"/>
        <v>\newcommand{\Erhobody}{\parbox[t]{\widtheqparameter}{\Drhobody}\hspace{\widtheqwhitespace}[\si{\kgpermthree}]}</v>
      </c>
      <c r="M7" s="3" t="str">
        <f t="shared" si="4"/>
        <v>\rho_b &amp; \Erhobody \\</v>
      </c>
    </row>
    <row r="8" spans="1:13">
      <c r="A8" s="8" t="s">
        <v>47</v>
      </c>
      <c r="B8" s="8" t="s">
        <v>56</v>
      </c>
      <c r="C8" s="8" t="s">
        <v>120</v>
      </c>
      <c r="D8" s="5" t="str">
        <f t="shared" si="0"/>
        <v>{\rho_\ell}</v>
      </c>
      <c r="E8" s="5">
        <f ca="1">IF(ISTEXT(C8),IF(D8=INDIRECT("Equations!$B$" &amp; 'Code per Equation'!$G$4+1),"",SEARCH(D8,INDIRECT("Equations!$C$" &amp; 'Code per Equation'!$G$4+1))),"")</f>
        <v>47</v>
      </c>
      <c r="F8" s="8" t="s">
        <v>57</v>
      </c>
      <c r="G8" s="8" t="s">
        <v>58</v>
      </c>
      <c r="H8" s="8" t="s">
        <v>1</v>
      </c>
      <c r="I8" s="8" t="s">
        <v>13</v>
      </c>
      <c r="J8" s="3" t="str">
        <f t="shared" si="1"/>
        <v>\newcommand{\Drholiquid}{density of the fluid}</v>
      </c>
      <c r="K8" s="3" t="str">
        <f t="shared" si="2"/>
        <v>\newglossaryentry{rholiquid}{name={$\rho_\ell$},description={\Drholiquid},unit={\si{\kgpermthree}},type=symbolslist,sort=1}</v>
      </c>
      <c r="L8" s="3" t="str">
        <f t="shared" si="3"/>
        <v>\newcommand{\Erholiquid}{\parbox[t]{\widtheqparameter}{\Drholiquid}\hspace{\widtheqwhitespace}[\si{\kgpermthree}]}</v>
      </c>
      <c r="M8" s="3" t="str">
        <f t="shared" si="4"/>
        <v>\rho_\ell &amp; \Erholiquid \\</v>
      </c>
    </row>
    <row r="9" spans="1:13">
      <c r="A9" s="8" t="s">
        <v>8</v>
      </c>
      <c r="B9" s="8" t="s">
        <v>8</v>
      </c>
      <c r="C9" s="8" t="s">
        <v>8</v>
      </c>
      <c r="D9" s="5" t="str">
        <f t="shared" si="0"/>
        <v>{u}</v>
      </c>
      <c r="E9" s="5" t="e">
        <f ca="1">IF(ISTEXT(C9),IF(D9=INDIRECT("Equations!$B$" &amp; 'Code per Equation'!$G$4+1),"",SEARCH(D9,INDIRECT("Equations!$C$" &amp; 'Code per Equation'!$G$4+1))),"")</f>
        <v>#VALUE!</v>
      </c>
      <c r="F9" s="8" t="s">
        <v>3</v>
      </c>
      <c r="G9" s="8" t="s">
        <v>29</v>
      </c>
      <c r="H9" s="8" t="s">
        <v>2</v>
      </c>
      <c r="I9" s="8" t="s">
        <v>15</v>
      </c>
      <c r="J9" s="3" t="str">
        <f t="shared" si="1"/>
        <v>\newcommand{\Du}{velocity of the fluid with respect to the object. This is a second line}</v>
      </c>
      <c r="K9" s="3" t="str">
        <f t="shared" si="2"/>
        <v>\newglossaryentry{u}{name={$u$},description={\Du},unit={\si{\mpers}},type=symbolslist,sort=1}</v>
      </c>
      <c r="L9" s="3" t="str">
        <f t="shared" si="3"/>
        <v>\newcommand{\Eu}{\parbox[t]{\widtheqparameter}{\Du}\hspace{\widtheqwhitespace}[\si{\mpers}]}</v>
      </c>
      <c r="M9" s="3" t="str">
        <f t="shared" si="4"/>
        <v>u &amp; \Eu \\</v>
      </c>
    </row>
    <row r="10" spans="1:13">
      <c r="A10" s="8"/>
      <c r="B10" s="8"/>
      <c r="C10" s="8"/>
      <c r="D10" s="5" t="str">
        <f t="shared" si="0"/>
        <v xml:space="preserve"> </v>
      </c>
      <c r="E10" s="5" t="str">
        <f ca="1">IF(ISTEXT(C10),IF(D10=INDIRECT("Equations!$B$" &amp; 'Code per Equation'!$G$4+1),"",SEARCH(D10,INDIRECT("Equations!$C$" &amp; 'Code per Equation'!$G$4+1))),"")</f>
        <v/>
      </c>
      <c r="F10" s="8"/>
      <c r="G10" s="8"/>
      <c r="H10" s="8"/>
      <c r="I10" s="8"/>
      <c r="J10" s="3" t="str">
        <f t="shared" si="1"/>
        <v xml:space="preserve"> </v>
      </c>
      <c r="K10" s="3" t="str">
        <f t="shared" si="2"/>
        <v xml:space="preserve"> </v>
      </c>
      <c r="L10" s="3" t="str">
        <f t="shared" si="3"/>
        <v xml:space="preserve"> </v>
      </c>
      <c r="M10" s="3" t="str">
        <f t="shared" si="4"/>
        <v xml:space="preserve"> </v>
      </c>
    </row>
    <row r="11" spans="1:13">
      <c r="A11" s="8"/>
      <c r="B11" s="8"/>
      <c r="C11" s="8"/>
      <c r="D11" s="5" t="str">
        <f t="shared" ref="D11:D74" si="5">IF(ISBLANK(C11)," ",CONCATENATE("{",C11,"}"))</f>
        <v xml:space="preserve"> </v>
      </c>
      <c r="E11" s="5" t="str">
        <f ca="1">IF(ISTEXT(C11),IF(D11=INDIRECT("Equations!$B$" &amp; 'Code per Equation'!$G$4+1),"",SEARCH(D11,INDIRECT("Equations!$C$" &amp; 'Code per Equation'!$G$4+1))),"")</f>
        <v/>
      </c>
      <c r="F11" s="8"/>
      <c r="G11" s="8"/>
      <c r="H11" s="8"/>
      <c r="I11" s="8"/>
      <c r="J11" s="3" t="str">
        <f t="shared" ref="J11:J74" si="6">IF(ISBLANK(C11)," ",CONCATENATE("\newcommand{",F11,"}{",H11,"}"))</f>
        <v xml:space="preserve"> </v>
      </c>
      <c r="K11" s="3" t="str">
        <f t="shared" ref="K11:K74" si="7">IF(ISBLANK(C11)," ",CONCATENATE("\newglossaryentry{",B11,"}{name={$",C11,"$},description={",F11,"},unit={\si{\",I11,"}},type=symbolslist,sort=","1}"))</f>
        <v xml:space="preserve"> </v>
      </c>
      <c r="L11" s="3" t="str">
        <f t="shared" ref="L11:L74" si="8">IF(ISBLANK(C11)," ",CONCATENATE("\newcommand{",G11,"}{\parbox[t]{","\widtheqparameter","}","{",F11,"}\hspace{","\widtheqwhitespace","}[\si{","\",I11,"}]}"))</f>
        <v xml:space="preserve"> </v>
      </c>
      <c r="M11" s="3" t="str">
        <f t="shared" ref="M11:M74" si="9">IF(ISBLANK(C11)," ",CONCATENATE(C11," &amp; ",G11," \\"))</f>
        <v xml:space="preserve"> </v>
      </c>
    </row>
    <row r="12" spans="1:13">
      <c r="A12" s="8"/>
      <c r="B12" s="8"/>
      <c r="C12" s="8"/>
      <c r="D12" s="5" t="str">
        <f t="shared" si="5"/>
        <v xml:space="preserve"> </v>
      </c>
      <c r="E12" s="5" t="str">
        <f ca="1">IF(ISTEXT(C12),IF(D12=INDIRECT("Equations!$B$" &amp; 'Code per Equation'!$G$4+1),"",SEARCH(D12,INDIRECT("Equations!$C$" &amp; 'Code per Equation'!$G$4+1))),"")</f>
        <v/>
      </c>
      <c r="F12" s="8"/>
      <c r="G12" s="8"/>
      <c r="H12" s="8"/>
      <c r="I12" s="8"/>
      <c r="J12" s="3" t="str">
        <f t="shared" si="6"/>
        <v xml:space="preserve"> </v>
      </c>
      <c r="K12" s="3" t="str">
        <f t="shared" si="7"/>
        <v xml:space="preserve"> </v>
      </c>
      <c r="L12" s="3" t="str">
        <f t="shared" si="8"/>
        <v xml:space="preserve"> </v>
      </c>
      <c r="M12" s="3" t="str">
        <f t="shared" si="9"/>
        <v xml:space="preserve"> </v>
      </c>
    </row>
    <row r="13" spans="1:13">
      <c r="A13" s="8"/>
      <c r="B13" s="8"/>
      <c r="C13" s="8"/>
      <c r="D13" s="5" t="str">
        <f t="shared" si="5"/>
        <v xml:space="preserve"> </v>
      </c>
      <c r="E13" s="5" t="str">
        <f ca="1">IF(ISTEXT(C13),IF(D13=INDIRECT("Equations!$B$" &amp; 'Code per Equation'!$G$4+1),"",SEARCH(D13,INDIRECT("Equations!$C$" &amp; 'Code per Equation'!$G$4+1))),"")</f>
        <v/>
      </c>
      <c r="F13" s="8"/>
      <c r="G13" s="8"/>
      <c r="H13" s="8"/>
      <c r="I13" s="8"/>
      <c r="J13" s="3" t="str">
        <f t="shared" si="6"/>
        <v xml:space="preserve"> </v>
      </c>
      <c r="K13" s="3" t="str">
        <f t="shared" si="7"/>
        <v xml:space="preserve"> </v>
      </c>
      <c r="L13" s="3" t="str">
        <f t="shared" si="8"/>
        <v xml:space="preserve"> </v>
      </c>
      <c r="M13" s="3" t="str">
        <f t="shared" si="9"/>
        <v xml:space="preserve"> </v>
      </c>
    </row>
    <row r="14" spans="1:13">
      <c r="A14" s="8"/>
      <c r="B14" s="8"/>
      <c r="C14" s="8"/>
      <c r="D14" s="5" t="str">
        <f t="shared" si="5"/>
        <v xml:space="preserve"> </v>
      </c>
      <c r="E14" s="5" t="str">
        <f ca="1">IF(ISTEXT(C14),IF(D14=INDIRECT("Equations!$B$" &amp; 'Code per Equation'!$G$4+1),"",SEARCH(D14,INDIRECT("Equations!$C$" &amp; 'Code per Equation'!$G$4+1))),"")</f>
        <v/>
      </c>
      <c r="F14" s="8"/>
      <c r="G14" s="8"/>
      <c r="H14" s="8"/>
      <c r="I14" s="8"/>
      <c r="J14" s="3" t="str">
        <f t="shared" si="6"/>
        <v xml:space="preserve"> </v>
      </c>
      <c r="K14" s="3" t="str">
        <f t="shared" si="7"/>
        <v xml:space="preserve"> </v>
      </c>
      <c r="L14" s="3" t="str">
        <f t="shared" si="8"/>
        <v xml:space="preserve"> </v>
      </c>
      <c r="M14" s="3" t="str">
        <f t="shared" si="9"/>
        <v xml:space="preserve"> </v>
      </c>
    </row>
    <row r="15" spans="1:13">
      <c r="A15" s="8"/>
      <c r="B15" s="8"/>
      <c r="C15" s="8"/>
      <c r="D15" s="5" t="str">
        <f t="shared" si="5"/>
        <v xml:space="preserve"> </v>
      </c>
      <c r="E15" s="5" t="str">
        <f ca="1">IF(ISTEXT(C15),IF(D15=INDIRECT("Equations!$B$" &amp; 'Code per Equation'!$G$4+1),"",SEARCH(D15,INDIRECT("Equations!$C$" &amp; 'Code per Equation'!$G$4+1))),"")</f>
        <v/>
      </c>
      <c r="F15" s="8"/>
      <c r="G15" s="8"/>
      <c r="H15" s="8"/>
      <c r="I15" s="8"/>
      <c r="J15" s="3" t="str">
        <f t="shared" si="6"/>
        <v xml:space="preserve"> </v>
      </c>
      <c r="K15" s="3" t="str">
        <f t="shared" si="7"/>
        <v xml:space="preserve"> </v>
      </c>
      <c r="L15" s="3" t="str">
        <f t="shared" si="8"/>
        <v xml:space="preserve"> </v>
      </c>
      <c r="M15" s="3" t="str">
        <f t="shared" si="9"/>
        <v xml:space="preserve"> </v>
      </c>
    </row>
    <row r="16" spans="1:13">
      <c r="A16" s="8"/>
      <c r="B16" s="8"/>
      <c r="C16" s="8"/>
      <c r="D16" s="5" t="str">
        <f t="shared" si="5"/>
        <v xml:space="preserve"> </v>
      </c>
      <c r="E16" s="5" t="str">
        <f ca="1">IF(ISTEXT(C16),IF(D16=INDIRECT("Equations!$B$" &amp; 'Code per Equation'!$G$4+1),"",SEARCH(D16,INDIRECT("Equations!$C$" &amp; 'Code per Equation'!$G$4+1))),"")</f>
        <v/>
      </c>
      <c r="F16" s="8"/>
      <c r="G16" s="8"/>
      <c r="H16" s="8"/>
      <c r="I16" s="8"/>
      <c r="J16" s="3" t="str">
        <f t="shared" si="6"/>
        <v xml:space="preserve"> </v>
      </c>
      <c r="K16" s="3" t="str">
        <f t="shared" si="7"/>
        <v xml:space="preserve"> </v>
      </c>
      <c r="L16" s="3" t="str">
        <f t="shared" si="8"/>
        <v xml:space="preserve"> </v>
      </c>
      <c r="M16" s="3" t="str">
        <f t="shared" si="9"/>
        <v xml:space="preserve"> </v>
      </c>
    </row>
    <row r="17" spans="1:13">
      <c r="A17" s="8"/>
      <c r="B17" s="8"/>
      <c r="C17" s="8"/>
      <c r="D17" s="5" t="str">
        <f t="shared" si="5"/>
        <v xml:space="preserve"> </v>
      </c>
      <c r="E17" s="5" t="str">
        <f ca="1">IF(ISTEXT(C17),IF(D17=INDIRECT("Equations!$B$" &amp; 'Code per Equation'!$G$4+1),"",SEARCH(D17,INDIRECT("Equations!$C$" &amp; 'Code per Equation'!$G$4+1))),"")</f>
        <v/>
      </c>
      <c r="F17" s="8"/>
      <c r="G17" s="8"/>
      <c r="H17" s="8"/>
      <c r="I17" s="8"/>
      <c r="J17" s="3" t="str">
        <f t="shared" si="6"/>
        <v xml:space="preserve"> </v>
      </c>
      <c r="K17" s="3" t="str">
        <f t="shared" si="7"/>
        <v xml:space="preserve"> </v>
      </c>
      <c r="L17" s="3" t="str">
        <f t="shared" si="8"/>
        <v xml:space="preserve"> </v>
      </c>
      <c r="M17" s="3" t="str">
        <f t="shared" si="9"/>
        <v xml:space="preserve"> </v>
      </c>
    </row>
    <row r="18" spans="1:13">
      <c r="A18" s="8"/>
      <c r="B18" s="8"/>
      <c r="C18" s="8"/>
      <c r="D18" s="5" t="str">
        <f t="shared" si="5"/>
        <v xml:space="preserve"> </v>
      </c>
      <c r="E18" s="5" t="str">
        <f ca="1">IF(ISTEXT(C18),IF(D18=INDIRECT("Equations!$B$" &amp; 'Code per Equation'!$G$4+1),"",SEARCH(D18,INDIRECT("Equations!$C$" &amp; 'Code per Equation'!$G$4+1))),"")</f>
        <v/>
      </c>
      <c r="F18" s="8"/>
      <c r="G18" s="8"/>
      <c r="H18" s="8"/>
      <c r="I18" s="8"/>
      <c r="J18" s="3" t="str">
        <f t="shared" si="6"/>
        <v xml:space="preserve"> </v>
      </c>
      <c r="K18" s="3" t="str">
        <f t="shared" si="7"/>
        <v xml:space="preserve"> </v>
      </c>
      <c r="L18" s="3" t="str">
        <f t="shared" si="8"/>
        <v xml:space="preserve"> </v>
      </c>
      <c r="M18" s="3" t="str">
        <f t="shared" si="9"/>
        <v xml:space="preserve"> </v>
      </c>
    </row>
    <row r="19" spans="1:13">
      <c r="A19" s="8"/>
      <c r="B19" s="8"/>
      <c r="C19" s="8"/>
      <c r="D19" s="5" t="str">
        <f t="shared" si="5"/>
        <v xml:space="preserve"> </v>
      </c>
      <c r="E19" s="5" t="str">
        <f ca="1">IF(ISTEXT(C19),IF(D19=INDIRECT("Equations!$B$" &amp; 'Code per Equation'!$G$4+1),"",SEARCH(D19,INDIRECT("Equations!$C$" &amp; 'Code per Equation'!$G$4+1))),"")</f>
        <v/>
      </c>
      <c r="F19" s="8"/>
      <c r="G19" s="8"/>
      <c r="H19" s="8"/>
      <c r="I19" s="8"/>
      <c r="J19" s="3" t="str">
        <f t="shared" si="6"/>
        <v xml:space="preserve"> </v>
      </c>
      <c r="K19" s="3" t="str">
        <f t="shared" si="7"/>
        <v xml:space="preserve"> </v>
      </c>
      <c r="L19" s="3" t="str">
        <f t="shared" si="8"/>
        <v xml:space="preserve"> </v>
      </c>
      <c r="M19" s="3" t="str">
        <f t="shared" si="9"/>
        <v xml:space="preserve"> </v>
      </c>
    </row>
    <row r="20" spans="1:13">
      <c r="A20" s="8"/>
      <c r="B20" s="8"/>
      <c r="C20" s="8"/>
      <c r="D20" s="5" t="str">
        <f t="shared" si="5"/>
        <v xml:space="preserve"> </v>
      </c>
      <c r="E20" s="5" t="str">
        <f ca="1">IF(ISTEXT(C20),IF(D20=INDIRECT("Equations!$B$" &amp; 'Code per Equation'!$G$4+1),"",SEARCH(D20,INDIRECT("Equations!$C$" &amp; 'Code per Equation'!$G$4+1))),"")</f>
        <v/>
      </c>
      <c r="F20" s="8"/>
      <c r="G20" s="8"/>
      <c r="H20" s="8"/>
      <c r="I20" s="8"/>
      <c r="J20" s="3" t="str">
        <f t="shared" si="6"/>
        <v xml:space="preserve"> </v>
      </c>
      <c r="K20" s="3" t="str">
        <f t="shared" si="7"/>
        <v xml:space="preserve"> </v>
      </c>
      <c r="L20" s="3" t="str">
        <f t="shared" si="8"/>
        <v xml:space="preserve"> </v>
      </c>
      <c r="M20" s="3" t="str">
        <f t="shared" si="9"/>
        <v xml:space="preserve"> </v>
      </c>
    </row>
    <row r="21" spans="1:13">
      <c r="A21" s="8"/>
      <c r="B21" s="8"/>
      <c r="C21" s="8"/>
      <c r="D21" s="5" t="str">
        <f t="shared" si="5"/>
        <v xml:space="preserve"> </v>
      </c>
      <c r="E21" s="5" t="str">
        <f ca="1">IF(ISTEXT(C21),IF(D21=INDIRECT("Equations!$B$" &amp; 'Code per Equation'!$G$4+1),"",SEARCH(D21,INDIRECT("Equations!$C$" &amp; 'Code per Equation'!$G$4+1))),"")</f>
        <v/>
      </c>
      <c r="F21" s="8"/>
      <c r="G21" s="8"/>
      <c r="H21" s="8"/>
      <c r="I21" s="8"/>
      <c r="J21" s="3" t="str">
        <f t="shared" si="6"/>
        <v xml:space="preserve"> </v>
      </c>
      <c r="K21" s="3" t="str">
        <f t="shared" si="7"/>
        <v xml:space="preserve"> </v>
      </c>
      <c r="L21" s="3" t="str">
        <f t="shared" si="8"/>
        <v xml:space="preserve"> </v>
      </c>
      <c r="M21" s="3" t="str">
        <f t="shared" si="9"/>
        <v xml:space="preserve"> </v>
      </c>
    </row>
    <row r="22" spans="1:13">
      <c r="A22" s="8"/>
      <c r="B22" s="8"/>
      <c r="C22" s="8"/>
      <c r="D22" s="5" t="str">
        <f t="shared" si="5"/>
        <v xml:space="preserve"> </v>
      </c>
      <c r="E22" s="5" t="str">
        <f ca="1">IF(ISTEXT(C22),IF(D22=INDIRECT("Equations!$B$" &amp; 'Code per Equation'!$G$4+1),"",SEARCH(D22,INDIRECT("Equations!$C$" &amp; 'Code per Equation'!$G$4+1))),"")</f>
        <v/>
      </c>
      <c r="F22" s="8"/>
      <c r="G22" s="8"/>
      <c r="H22" s="8"/>
      <c r="I22" s="8"/>
      <c r="J22" s="3" t="str">
        <f t="shared" si="6"/>
        <v xml:space="preserve"> </v>
      </c>
      <c r="K22" s="3" t="str">
        <f t="shared" si="7"/>
        <v xml:space="preserve"> </v>
      </c>
      <c r="L22" s="3" t="str">
        <f t="shared" si="8"/>
        <v xml:space="preserve"> </v>
      </c>
      <c r="M22" s="3" t="str">
        <f t="shared" si="9"/>
        <v xml:space="preserve"> </v>
      </c>
    </row>
    <row r="23" spans="1:13">
      <c r="A23" s="8"/>
      <c r="B23" s="8"/>
      <c r="C23" s="8"/>
      <c r="D23" s="5" t="str">
        <f t="shared" si="5"/>
        <v xml:space="preserve"> </v>
      </c>
      <c r="E23" s="5" t="str">
        <f ca="1">IF(ISTEXT(C23),IF(D23=INDIRECT("Equations!$B$" &amp; 'Code per Equation'!$G$4+1),"",SEARCH(D23,INDIRECT("Equations!$C$" &amp; 'Code per Equation'!$G$4+1))),"")</f>
        <v/>
      </c>
      <c r="F23" s="8"/>
      <c r="G23" s="8"/>
      <c r="H23" s="8"/>
      <c r="I23" s="8"/>
      <c r="J23" s="3" t="str">
        <f t="shared" si="6"/>
        <v xml:space="preserve"> </v>
      </c>
      <c r="K23" s="3" t="str">
        <f t="shared" si="7"/>
        <v xml:space="preserve"> </v>
      </c>
      <c r="L23" s="3" t="str">
        <f t="shared" si="8"/>
        <v xml:space="preserve"> </v>
      </c>
      <c r="M23" s="3" t="str">
        <f t="shared" si="9"/>
        <v xml:space="preserve"> </v>
      </c>
    </row>
    <row r="24" spans="1:13">
      <c r="A24" s="8"/>
      <c r="B24" s="8"/>
      <c r="C24" s="8"/>
      <c r="D24" s="5" t="str">
        <f t="shared" si="5"/>
        <v xml:space="preserve"> </v>
      </c>
      <c r="E24" s="5" t="str">
        <f ca="1">IF(ISTEXT(C24),IF(D24=INDIRECT("Equations!$B$" &amp; 'Code per Equation'!$G$4+1),"",SEARCH(D24,INDIRECT("Equations!$C$" &amp; 'Code per Equation'!$G$4+1))),"")</f>
        <v/>
      </c>
      <c r="F24" s="8"/>
      <c r="G24" s="8"/>
      <c r="H24" s="8"/>
      <c r="I24" s="8"/>
      <c r="J24" s="3" t="str">
        <f t="shared" si="6"/>
        <v xml:space="preserve"> </v>
      </c>
      <c r="K24" s="3" t="str">
        <f t="shared" si="7"/>
        <v xml:space="preserve"> </v>
      </c>
      <c r="L24" s="3" t="str">
        <f t="shared" si="8"/>
        <v xml:space="preserve"> </v>
      </c>
      <c r="M24" s="3" t="str">
        <f t="shared" si="9"/>
        <v xml:space="preserve"> </v>
      </c>
    </row>
    <row r="25" spans="1:13">
      <c r="A25" s="8"/>
      <c r="B25" s="8"/>
      <c r="C25" s="8"/>
      <c r="D25" s="5" t="str">
        <f t="shared" si="5"/>
        <v xml:space="preserve"> </v>
      </c>
      <c r="E25" s="5" t="str">
        <f ca="1">IF(ISTEXT(C25),IF(D25=INDIRECT("Equations!$B$" &amp; 'Code per Equation'!$G$4+1),"",SEARCH(D25,INDIRECT("Equations!$C$" &amp; 'Code per Equation'!$G$4+1))),"")</f>
        <v/>
      </c>
      <c r="F25" s="8"/>
      <c r="G25" s="8"/>
      <c r="H25" s="8"/>
      <c r="I25" s="8"/>
      <c r="J25" s="3" t="str">
        <f t="shared" si="6"/>
        <v xml:space="preserve"> </v>
      </c>
      <c r="K25" s="3" t="str">
        <f t="shared" si="7"/>
        <v xml:space="preserve"> </v>
      </c>
      <c r="L25" s="3" t="str">
        <f t="shared" si="8"/>
        <v xml:space="preserve"> </v>
      </c>
      <c r="M25" s="3" t="str">
        <f t="shared" si="9"/>
        <v xml:space="preserve"> </v>
      </c>
    </row>
    <row r="26" spans="1:13">
      <c r="A26" s="8"/>
      <c r="B26" s="8"/>
      <c r="C26" s="8"/>
      <c r="D26" s="5" t="str">
        <f t="shared" si="5"/>
        <v xml:space="preserve"> </v>
      </c>
      <c r="E26" s="5" t="str">
        <f ca="1">IF(ISTEXT(C26),IF(D26=INDIRECT("Equations!$B$" &amp; 'Code per Equation'!$G$4+1),"",SEARCH(D26,INDIRECT("Equations!$C$" &amp; 'Code per Equation'!$G$4+1))),"")</f>
        <v/>
      </c>
      <c r="F26" s="8"/>
      <c r="G26" s="8"/>
      <c r="H26" s="8"/>
      <c r="I26" s="8"/>
      <c r="J26" s="3" t="str">
        <f t="shared" si="6"/>
        <v xml:space="preserve"> </v>
      </c>
      <c r="K26" s="3" t="str">
        <f t="shared" si="7"/>
        <v xml:space="preserve"> </v>
      </c>
      <c r="L26" s="3" t="str">
        <f t="shared" si="8"/>
        <v xml:space="preserve"> </v>
      </c>
      <c r="M26" s="3" t="str">
        <f t="shared" si="9"/>
        <v xml:space="preserve"> </v>
      </c>
    </row>
    <row r="27" spans="1:13">
      <c r="A27" s="8"/>
      <c r="B27" s="8"/>
      <c r="C27" s="8"/>
      <c r="D27" s="5" t="str">
        <f t="shared" si="5"/>
        <v xml:space="preserve"> </v>
      </c>
      <c r="E27" s="5" t="str">
        <f ca="1">IF(ISTEXT(C27),IF(D27=INDIRECT("Equations!$B$" &amp; 'Code per Equation'!$G$4+1),"",SEARCH(D27,INDIRECT("Equations!$C$" &amp; 'Code per Equation'!$G$4+1))),"")</f>
        <v/>
      </c>
      <c r="F27" s="8"/>
      <c r="G27" s="8"/>
      <c r="H27" s="8"/>
      <c r="I27" s="8"/>
      <c r="J27" s="3" t="str">
        <f t="shared" si="6"/>
        <v xml:space="preserve"> </v>
      </c>
      <c r="K27" s="3" t="str">
        <f t="shared" si="7"/>
        <v xml:space="preserve"> </v>
      </c>
      <c r="L27" s="3" t="str">
        <f t="shared" si="8"/>
        <v xml:space="preserve"> </v>
      </c>
      <c r="M27" s="3" t="str">
        <f t="shared" si="9"/>
        <v xml:space="preserve"> </v>
      </c>
    </row>
    <row r="28" spans="1:13">
      <c r="A28" s="8"/>
      <c r="B28" s="8"/>
      <c r="C28" s="8"/>
      <c r="D28" s="5" t="str">
        <f t="shared" si="5"/>
        <v xml:space="preserve"> </v>
      </c>
      <c r="E28" s="5" t="str">
        <f ca="1">IF(ISTEXT(C28),IF(D28=INDIRECT("Equations!$B$" &amp; 'Code per Equation'!$G$4+1),"",SEARCH(D28,INDIRECT("Equations!$C$" &amp; 'Code per Equation'!$G$4+1))),"")</f>
        <v/>
      </c>
      <c r="F28" s="8"/>
      <c r="G28" s="8"/>
      <c r="H28" s="8"/>
      <c r="I28" s="8"/>
      <c r="J28" s="3" t="str">
        <f t="shared" si="6"/>
        <v xml:space="preserve"> </v>
      </c>
      <c r="K28" s="3" t="str">
        <f t="shared" si="7"/>
        <v xml:space="preserve"> </v>
      </c>
      <c r="L28" s="3" t="str">
        <f t="shared" si="8"/>
        <v xml:space="preserve"> </v>
      </c>
      <c r="M28" s="3" t="str">
        <f t="shared" si="9"/>
        <v xml:space="preserve"> </v>
      </c>
    </row>
    <row r="29" spans="1:13">
      <c r="A29" s="8"/>
      <c r="B29" s="8"/>
      <c r="C29" s="8"/>
      <c r="D29" s="5" t="str">
        <f t="shared" si="5"/>
        <v xml:space="preserve"> </v>
      </c>
      <c r="E29" s="5" t="str">
        <f ca="1">IF(ISTEXT(C29),IF(D29=INDIRECT("Equations!$B$" &amp; 'Code per Equation'!$G$4+1),"",SEARCH(D29,INDIRECT("Equations!$C$" &amp; 'Code per Equation'!$G$4+1))),"")</f>
        <v/>
      </c>
      <c r="F29" s="8"/>
      <c r="G29" s="8"/>
      <c r="H29" s="8"/>
      <c r="I29" s="8"/>
      <c r="J29" s="3" t="str">
        <f t="shared" si="6"/>
        <v xml:space="preserve"> </v>
      </c>
      <c r="K29" s="3" t="str">
        <f t="shared" si="7"/>
        <v xml:space="preserve"> </v>
      </c>
      <c r="L29" s="3" t="str">
        <f t="shared" si="8"/>
        <v xml:space="preserve"> </v>
      </c>
      <c r="M29" s="3" t="str">
        <f t="shared" si="9"/>
        <v xml:space="preserve"> </v>
      </c>
    </row>
    <row r="30" spans="1:13">
      <c r="A30" s="8"/>
      <c r="B30" s="8"/>
      <c r="C30" s="8"/>
      <c r="D30" s="5" t="str">
        <f t="shared" si="5"/>
        <v xml:space="preserve"> </v>
      </c>
      <c r="E30" s="5" t="str">
        <f ca="1">IF(ISTEXT(C30),IF(D30=INDIRECT("Equations!$B$" &amp; 'Code per Equation'!$G$4+1),"",SEARCH(D30,INDIRECT("Equations!$C$" &amp; 'Code per Equation'!$G$4+1))),"")</f>
        <v/>
      </c>
      <c r="F30" s="8"/>
      <c r="G30" s="8"/>
      <c r="H30" s="8"/>
      <c r="I30" s="8"/>
      <c r="J30" s="3" t="str">
        <f t="shared" si="6"/>
        <v xml:space="preserve"> </v>
      </c>
      <c r="K30" s="3" t="str">
        <f t="shared" si="7"/>
        <v xml:space="preserve"> </v>
      </c>
      <c r="L30" s="3" t="str">
        <f t="shared" si="8"/>
        <v xml:space="preserve"> </v>
      </c>
      <c r="M30" s="3" t="str">
        <f t="shared" si="9"/>
        <v xml:space="preserve"> </v>
      </c>
    </row>
    <row r="31" spans="1:13">
      <c r="A31" s="8"/>
      <c r="B31" s="8"/>
      <c r="C31" s="8"/>
      <c r="D31" s="5" t="str">
        <f t="shared" si="5"/>
        <v xml:space="preserve"> </v>
      </c>
      <c r="E31" s="5" t="str">
        <f ca="1">IF(ISTEXT(C31),IF(D31=INDIRECT("Equations!$B$" &amp; 'Code per Equation'!$G$4+1),"",SEARCH(D31,INDIRECT("Equations!$C$" &amp; 'Code per Equation'!$G$4+1))),"")</f>
        <v/>
      </c>
      <c r="F31" s="8"/>
      <c r="G31" s="8"/>
      <c r="H31" s="8"/>
      <c r="I31" s="8"/>
      <c r="J31" s="3" t="str">
        <f t="shared" si="6"/>
        <v xml:space="preserve"> </v>
      </c>
      <c r="K31" s="3" t="str">
        <f t="shared" si="7"/>
        <v xml:space="preserve"> </v>
      </c>
      <c r="L31" s="3" t="str">
        <f t="shared" si="8"/>
        <v xml:space="preserve"> </v>
      </c>
      <c r="M31" s="3" t="str">
        <f t="shared" si="9"/>
        <v xml:space="preserve"> </v>
      </c>
    </row>
    <row r="32" spans="1:13">
      <c r="A32" s="8"/>
      <c r="B32" s="8"/>
      <c r="C32" s="8"/>
      <c r="D32" s="5" t="str">
        <f t="shared" si="5"/>
        <v xml:space="preserve"> </v>
      </c>
      <c r="E32" s="5" t="str">
        <f ca="1">IF(ISTEXT(C32),IF(D32=INDIRECT("Equations!$B$" &amp; 'Code per Equation'!$G$4+1),"",SEARCH(D32,INDIRECT("Equations!$C$" &amp; 'Code per Equation'!$G$4+1))),"")</f>
        <v/>
      </c>
      <c r="F32" s="8"/>
      <c r="G32" s="8"/>
      <c r="H32" s="8"/>
      <c r="I32" s="8"/>
      <c r="J32" s="3" t="str">
        <f t="shared" si="6"/>
        <v xml:space="preserve"> </v>
      </c>
      <c r="K32" s="3" t="str">
        <f t="shared" si="7"/>
        <v xml:space="preserve"> </v>
      </c>
      <c r="L32" s="3" t="str">
        <f t="shared" si="8"/>
        <v xml:space="preserve"> </v>
      </c>
      <c r="M32" s="3" t="str">
        <f t="shared" si="9"/>
        <v xml:space="preserve"> </v>
      </c>
    </row>
    <row r="33" spans="1:13">
      <c r="A33" s="8"/>
      <c r="B33" s="8"/>
      <c r="C33" s="8"/>
      <c r="D33" s="5" t="str">
        <f t="shared" si="5"/>
        <v xml:space="preserve"> </v>
      </c>
      <c r="E33" s="5" t="str">
        <f ca="1">IF(ISTEXT(C33),IF(D33=INDIRECT("Equations!$B$" &amp; 'Code per Equation'!$G$4+1),"",SEARCH(D33,INDIRECT("Equations!$C$" &amp; 'Code per Equation'!$G$4+1))),"")</f>
        <v/>
      </c>
      <c r="F33" s="8"/>
      <c r="G33" s="8"/>
      <c r="H33" s="8"/>
      <c r="I33" s="8"/>
      <c r="J33" s="3" t="str">
        <f t="shared" si="6"/>
        <v xml:space="preserve"> </v>
      </c>
      <c r="K33" s="3" t="str">
        <f t="shared" si="7"/>
        <v xml:space="preserve"> </v>
      </c>
      <c r="L33" s="3" t="str">
        <f t="shared" si="8"/>
        <v xml:space="preserve"> </v>
      </c>
      <c r="M33" s="3" t="str">
        <f t="shared" si="9"/>
        <v xml:space="preserve"> </v>
      </c>
    </row>
    <row r="34" spans="1:13">
      <c r="A34" s="8"/>
      <c r="B34" s="8"/>
      <c r="C34" s="8"/>
      <c r="D34" s="5" t="str">
        <f t="shared" si="5"/>
        <v xml:space="preserve"> </v>
      </c>
      <c r="E34" s="5" t="str">
        <f ca="1">IF(ISTEXT(C34),IF(D34=INDIRECT("Equations!$B$" &amp; 'Code per Equation'!$G$4+1),"",SEARCH(D34,INDIRECT("Equations!$C$" &amp; 'Code per Equation'!$G$4+1))),"")</f>
        <v/>
      </c>
      <c r="F34" s="8"/>
      <c r="G34" s="8"/>
      <c r="H34" s="8"/>
      <c r="I34" s="8"/>
      <c r="J34" s="3" t="str">
        <f t="shared" si="6"/>
        <v xml:space="preserve"> </v>
      </c>
      <c r="K34" s="3" t="str">
        <f t="shared" si="7"/>
        <v xml:space="preserve"> </v>
      </c>
      <c r="L34" s="3" t="str">
        <f t="shared" si="8"/>
        <v xml:space="preserve"> </v>
      </c>
      <c r="M34" s="3" t="str">
        <f t="shared" si="9"/>
        <v xml:space="preserve"> </v>
      </c>
    </row>
    <row r="35" spans="1:13">
      <c r="A35" s="8"/>
      <c r="B35" s="8"/>
      <c r="C35" s="8"/>
      <c r="D35" s="5" t="str">
        <f t="shared" si="5"/>
        <v xml:space="preserve"> </v>
      </c>
      <c r="E35" s="5" t="str">
        <f ca="1">IF(ISTEXT(C35),IF(D35=INDIRECT("Equations!$B$" &amp; 'Code per Equation'!$G$4+1),"",SEARCH(D35,INDIRECT("Equations!$C$" &amp; 'Code per Equation'!$G$4+1))),"")</f>
        <v/>
      </c>
      <c r="F35" s="8"/>
      <c r="G35" s="8"/>
      <c r="H35" s="8"/>
      <c r="I35" s="8"/>
      <c r="J35" s="3" t="str">
        <f t="shared" si="6"/>
        <v xml:space="preserve"> </v>
      </c>
      <c r="K35" s="3" t="str">
        <f t="shared" si="7"/>
        <v xml:space="preserve"> </v>
      </c>
      <c r="L35" s="3" t="str">
        <f t="shared" si="8"/>
        <v xml:space="preserve"> </v>
      </c>
      <c r="M35" s="3" t="str">
        <f t="shared" si="9"/>
        <v xml:space="preserve"> </v>
      </c>
    </row>
    <row r="36" spans="1:13">
      <c r="A36" s="8"/>
      <c r="B36" s="8"/>
      <c r="C36" s="8"/>
      <c r="D36" s="5" t="str">
        <f t="shared" si="5"/>
        <v xml:space="preserve"> </v>
      </c>
      <c r="E36" s="5" t="str">
        <f ca="1">IF(ISTEXT(C36),IF(D36=INDIRECT("Equations!$B$" &amp; 'Code per Equation'!$G$4+1),"",SEARCH(D36,INDIRECT("Equations!$C$" &amp; 'Code per Equation'!$G$4+1))),"")</f>
        <v/>
      </c>
      <c r="F36" s="8"/>
      <c r="G36" s="8"/>
      <c r="H36" s="8"/>
      <c r="I36" s="8"/>
      <c r="J36" s="3" t="str">
        <f t="shared" si="6"/>
        <v xml:space="preserve"> </v>
      </c>
      <c r="K36" s="3" t="str">
        <f t="shared" si="7"/>
        <v xml:space="preserve"> </v>
      </c>
      <c r="L36" s="3" t="str">
        <f t="shared" si="8"/>
        <v xml:space="preserve"> </v>
      </c>
      <c r="M36" s="3" t="str">
        <f t="shared" si="9"/>
        <v xml:space="preserve"> </v>
      </c>
    </row>
    <row r="37" spans="1:13">
      <c r="A37" s="8"/>
      <c r="B37" s="8"/>
      <c r="C37" s="8"/>
      <c r="D37" s="5" t="str">
        <f t="shared" si="5"/>
        <v xml:space="preserve"> </v>
      </c>
      <c r="E37" s="5" t="str">
        <f ca="1">IF(ISTEXT(C37),IF(D37=INDIRECT("Equations!$B$" &amp; 'Code per Equation'!$G$4+1),"",SEARCH(D37,INDIRECT("Equations!$C$" &amp; 'Code per Equation'!$G$4+1))),"")</f>
        <v/>
      </c>
      <c r="F37" s="8"/>
      <c r="G37" s="8"/>
      <c r="H37" s="8"/>
      <c r="I37" s="8"/>
      <c r="J37" s="3" t="str">
        <f t="shared" si="6"/>
        <v xml:space="preserve"> </v>
      </c>
      <c r="K37" s="3" t="str">
        <f t="shared" si="7"/>
        <v xml:space="preserve"> </v>
      </c>
      <c r="L37" s="3" t="str">
        <f t="shared" si="8"/>
        <v xml:space="preserve"> </v>
      </c>
      <c r="M37" s="3" t="str">
        <f t="shared" si="9"/>
        <v xml:space="preserve"> </v>
      </c>
    </row>
    <row r="38" spans="1:13">
      <c r="A38" s="8"/>
      <c r="B38" s="8"/>
      <c r="C38" s="8"/>
      <c r="D38" s="5" t="str">
        <f t="shared" si="5"/>
        <v xml:space="preserve"> </v>
      </c>
      <c r="E38" s="5" t="str">
        <f ca="1">IF(ISTEXT(C38),IF(D38=INDIRECT("Equations!$B$" &amp; 'Code per Equation'!$G$4+1),"",SEARCH(D38,INDIRECT("Equations!$C$" &amp; 'Code per Equation'!$G$4+1))),"")</f>
        <v/>
      </c>
      <c r="F38" s="8"/>
      <c r="G38" s="8"/>
      <c r="H38" s="8"/>
      <c r="I38" s="8"/>
      <c r="J38" s="3" t="str">
        <f t="shared" si="6"/>
        <v xml:space="preserve"> </v>
      </c>
      <c r="K38" s="3" t="str">
        <f t="shared" si="7"/>
        <v xml:space="preserve"> </v>
      </c>
      <c r="L38" s="3" t="str">
        <f t="shared" si="8"/>
        <v xml:space="preserve"> </v>
      </c>
      <c r="M38" s="3" t="str">
        <f t="shared" si="9"/>
        <v xml:space="preserve"> </v>
      </c>
    </row>
    <row r="39" spans="1:13">
      <c r="A39" s="8"/>
      <c r="B39" s="8"/>
      <c r="C39" s="8"/>
      <c r="D39" s="5" t="str">
        <f t="shared" si="5"/>
        <v xml:space="preserve"> </v>
      </c>
      <c r="E39" s="5" t="str">
        <f ca="1">IF(ISTEXT(C39),IF(D39=INDIRECT("Equations!$B$" &amp; 'Code per Equation'!$G$4+1),"",SEARCH(D39,INDIRECT("Equations!$C$" &amp; 'Code per Equation'!$G$4+1))),"")</f>
        <v/>
      </c>
      <c r="F39" s="8"/>
      <c r="G39" s="8"/>
      <c r="H39" s="8"/>
      <c r="I39" s="8"/>
      <c r="J39" s="3" t="str">
        <f t="shared" si="6"/>
        <v xml:space="preserve"> </v>
      </c>
      <c r="K39" s="3" t="str">
        <f t="shared" si="7"/>
        <v xml:space="preserve"> </v>
      </c>
      <c r="L39" s="3" t="str">
        <f t="shared" si="8"/>
        <v xml:space="preserve"> </v>
      </c>
      <c r="M39" s="3" t="str">
        <f t="shared" si="9"/>
        <v xml:space="preserve"> </v>
      </c>
    </row>
    <row r="40" spans="1:13">
      <c r="A40" s="8"/>
      <c r="B40" s="8"/>
      <c r="C40" s="8"/>
      <c r="D40" s="5" t="str">
        <f t="shared" si="5"/>
        <v xml:space="preserve"> </v>
      </c>
      <c r="E40" s="5" t="str">
        <f ca="1">IF(ISTEXT(C40),IF(D40=INDIRECT("Equations!$B$" &amp; 'Code per Equation'!$G$4+1),"",SEARCH(D40,INDIRECT("Equations!$C$" &amp; 'Code per Equation'!$G$4+1))),"")</f>
        <v/>
      </c>
      <c r="F40" s="8"/>
      <c r="G40" s="8"/>
      <c r="H40" s="8"/>
      <c r="I40" s="8"/>
      <c r="J40" s="3" t="str">
        <f t="shared" si="6"/>
        <v xml:space="preserve"> </v>
      </c>
      <c r="K40" s="3" t="str">
        <f t="shared" si="7"/>
        <v xml:space="preserve"> </v>
      </c>
      <c r="L40" s="3" t="str">
        <f t="shared" si="8"/>
        <v xml:space="preserve"> </v>
      </c>
      <c r="M40" s="3" t="str">
        <f t="shared" si="9"/>
        <v xml:space="preserve"> </v>
      </c>
    </row>
    <row r="41" spans="1:13">
      <c r="A41" s="8"/>
      <c r="B41" s="8"/>
      <c r="C41" s="8"/>
      <c r="D41" s="5" t="str">
        <f t="shared" si="5"/>
        <v xml:space="preserve"> </v>
      </c>
      <c r="E41" s="5" t="str">
        <f ca="1">IF(ISTEXT(C41),IF(D41=INDIRECT("Equations!$B$" &amp; 'Code per Equation'!$G$4+1),"",SEARCH(D41,INDIRECT("Equations!$C$" &amp; 'Code per Equation'!$G$4+1))),"")</f>
        <v/>
      </c>
      <c r="F41" s="8"/>
      <c r="G41" s="8"/>
      <c r="H41" s="8"/>
      <c r="I41" s="8"/>
      <c r="J41" s="3" t="str">
        <f t="shared" si="6"/>
        <v xml:space="preserve"> </v>
      </c>
      <c r="K41" s="3" t="str">
        <f t="shared" si="7"/>
        <v xml:space="preserve"> </v>
      </c>
      <c r="L41" s="3" t="str">
        <f t="shared" si="8"/>
        <v xml:space="preserve"> </v>
      </c>
      <c r="M41" s="3" t="str">
        <f t="shared" si="9"/>
        <v xml:space="preserve"> </v>
      </c>
    </row>
    <row r="42" spans="1:13">
      <c r="A42" s="8"/>
      <c r="B42" s="8"/>
      <c r="C42" s="8"/>
      <c r="D42" s="5" t="str">
        <f t="shared" si="5"/>
        <v xml:space="preserve"> </v>
      </c>
      <c r="E42" s="5" t="str">
        <f ca="1">IF(ISTEXT(C42),IF(D42=INDIRECT("Equations!$B$" &amp; 'Code per Equation'!$G$4+1),"",SEARCH(D42,INDIRECT("Equations!$C$" &amp; 'Code per Equation'!$G$4+1))),"")</f>
        <v/>
      </c>
      <c r="F42" s="8"/>
      <c r="G42" s="8"/>
      <c r="H42" s="8"/>
      <c r="I42" s="8"/>
      <c r="J42" s="3" t="str">
        <f t="shared" si="6"/>
        <v xml:space="preserve"> </v>
      </c>
      <c r="K42" s="3" t="str">
        <f t="shared" si="7"/>
        <v xml:space="preserve"> </v>
      </c>
      <c r="L42" s="3" t="str">
        <f t="shared" si="8"/>
        <v xml:space="preserve"> </v>
      </c>
      <c r="M42" s="3" t="str">
        <f t="shared" si="9"/>
        <v xml:space="preserve"> </v>
      </c>
    </row>
    <row r="43" spans="1:13">
      <c r="A43" s="8"/>
      <c r="B43" s="8"/>
      <c r="C43" s="8"/>
      <c r="D43" s="5" t="str">
        <f t="shared" si="5"/>
        <v xml:space="preserve"> </v>
      </c>
      <c r="E43" s="5" t="str">
        <f ca="1">IF(ISTEXT(C43),IF(D43=INDIRECT("Equations!$B$" &amp; 'Code per Equation'!$G$4+1),"",SEARCH(D43,INDIRECT("Equations!$C$" &amp; 'Code per Equation'!$G$4+1))),"")</f>
        <v/>
      </c>
      <c r="F43" s="8"/>
      <c r="G43" s="8"/>
      <c r="H43" s="8"/>
      <c r="I43" s="8"/>
      <c r="J43" s="3" t="str">
        <f t="shared" si="6"/>
        <v xml:space="preserve"> </v>
      </c>
      <c r="K43" s="3" t="str">
        <f t="shared" si="7"/>
        <v xml:space="preserve"> </v>
      </c>
      <c r="L43" s="3" t="str">
        <f t="shared" si="8"/>
        <v xml:space="preserve"> </v>
      </c>
      <c r="M43" s="3" t="str">
        <f t="shared" si="9"/>
        <v xml:space="preserve"> </v>
      </c>
    </row>
    <row r="44" spans="1:13">
      <c r="A44" s="8"/>
      <c r="B44" s="8"/>
      <c r="C44" s="8"/>
      <c r="D44" s="5" t="str">
        <f t="shared" si="5"/>
        <v xml:space="preserve"> </v>
      </c>
      <c r="E44" s="5" t="str">
        <f ca="1">IF(ISTEXT(C44),IF(D44=INDIRECT("Equations!$B$" &amp; 'Code per Equation'!$G$4+1),"",SEARCH(D44,INDIRECT("Equations!$C$" &amp; 'Code per Equation'!$G$4+1))),"")</f>
        <v/>
      </c>
      <c r="F44" s="8"/>
      <c r="G44" s="8"/>
      <c r="H44" s="8"/>
      <c r="I44" s="8"/>
      <c r="J44" s="3" t="str">
        <f t="shared" si="6"/>
        <v xml:space="preserve"> </v>
      </c>
      <c r="K44" s="3" t="str">
        <f t="shared" si="7"/>
        <v xml:space="preserve"> </v>
      </c>
      <c r="L44" s="3" t="str">
        <f t="shared" si="8"/>
        <v xml:space="preserve"> </v>
      </c>
      <c r="M44" s="3" t="str">
        <f t="shared" si="9"/>
        <v xml:space="preserve"> </v>
      </c>
    </row>
    <row r="45" spans="1:13">
      <c r="A45" s="8"/>
      <c r="B45" s="8"/>
      <c r="C45" s="8"/>
      <c r="D45" s="5" t="str">
        <f t="shared" si="5"/>
        <v xml:space="preserve"> </v>
      </c>
      <c r="E45" s="5" t="str">
        <f ca="1">IF(ISTEXT(C45),IF(D45=INDIRECT("Equations!$B$" &amp; 'Code per Equation'!$G$4+1),"",SEARCH(D45,INDIRECT("Equations!$C$" &amp; 'Code per Equation'!$G$4+1))),"")</f>
        <v/>
      </c>
      <c r="F45" s="8"/>
      <c r="G45" s="8"/>
      <c r="H45" s="8"/>
      <c r="I45" s="8"/>
      <c r="J45" s="3" t="str">
        <f t="shared" si="6"/>
        <v xml:space="preserve"> </v>
      </c>
      <c r="K45" s="3" t="str">
        <f t="shared" si="7"/>
        <v xml:space="preserve"> </v>
      </c>
      <c r="L45" s="3" t="str">
        <f t="shared" si="8"/>
        <v xml:space="preserve"> </v>
      </c>
      <c r="M45" s="3" t="str">
        <f t="shared" si="9"/>
        <v xml:space="preserve"> </v>
      </c>
    </row>
    <row r="46" spans="1:13">
      <c r="A46" s="8"/>
      <c r="B46" s="8"/>
      <c r="C46" s="8"/>
      <c r="D46" s="5" t="str">
        <f t="shared" si="5"/>
        <v xml:space="preserve"> </v>
      </c>
      <c r="E46" s="5" t="str">
        <f ca="1">IF(ISTEXT(C46),IF(D46=INDIRECT("Equations!$B$" &amp; 'Code per Equation'!$G$4+1),"",SEARCH(D46,INDIRECT("Equations!$C$" &amp; 'Code per Equation'!$G$4+1))),"")</f>
        <v/>
      </c>
      <c r="F46" s="8"/>
      <c r="G46" s="8"/>
      <c r="H46" s="8"/>
      <c r="I46" s="8"/>
      <c r="J46" s="3" t="str">
        <f t="shared" si="6"/>
        <v xml:space="preserve"> </v>
      </c>
      <c r="K46" s="3" t="str">
        <f t="shared" si="7"/>
        <v xml:space="preserve"> </v>
      </c>
      <c r="L46" s="3" t="str">
        <f t="shared" si="8"/>
        <v xml:space="preserve"> </v>
      </c>
      <c r="M46" s="3" t="str">
        <f t="shared" si="9"/>
        <v xml:space="preserve"> </v>
      </c>
    </row>
    <row r="47" spans="1:13">
      <c r="A47" s="8"/>
      <c r="B47" s="8"/>
      <c r="C47" s="8"/>
      <c r="D47" s="5" t="str">
        <f t="shared" si="5"/>
        <v xml:space="preserve"> </v>
      </c>
      <c r="E47" s="5" t="str">
        <f ca="1">IF(ISTEXT(C47),IF(D47=INDIRECT("Equations!$B$" &amp; 'Code per Equation'!$G$4+1),"",SEARCH(D47,INDIRECT("Equations!$C$" &amp; 'Code per Equation'!$G$4+1))),"")</f>
        <v/>
      </c>
      <c r="F47" s="8"/>
      <c r="G47" s="8"/>
      <c r="H47" s="8"/>
      <c r="I47" s="8"/>
      <c r="J47" s="3" t="str">
        <f t="shared" si="6"/>
        <v xml:space="preserve"> </v>
      </c>
      <c r="K47" s="3" t="str">
        <f t="shared" si="7"/>
        <v xml:space="preserve"> </v>
      </c>
      <c r="L47" s="3" t="str">
        <f t="shared" si="8"/>
        <v xml:space="preserve"> </v>
      </c>
      <c r="M47" s="3" t="str">
        <f t="shared" si="9"/>
        <v xml:space="preserve"> </v>
      </c>
    </row>
    <row r="48" spans="1:13">
      <c r="A48" s="8"/>
      <c r="B48" s="8"/>
      <c r="C48" s="8"/>
      <c r="D48" s="5" t="str">
        <f t="shared" si="5"/>
        <v xml:space="preserve"> </v>
      </c>
      <c r="E48" s="5" t="str">
        <f ca="1">IF(ISTEXT(C48),IF(D48=INDIRECT("Equations!$B$" &amp; 'Code per Equation'!$G$4+1),"",SEARCH(D48,INDIRECT("Equations!$C$" &amp; 'Code per Equation'!$G$4+1))),"")</f>
        <v/>
      </c>
      <c r="F48" s="8"/>
      <c r="G48" s="8"/>
      <c r="H48" s="8"/>
      <c r="I48" s="8"/>
      <c r="J48" s="3" t="str">
        <f t="shared" si="6"/>
        <v xml:space="preserve"> </v>
      </c>
      <c r="K48" s="3" t="str">
        <f t="shared" si="7"/>
        <v xml:space="preserve"> </v>
      </c>
      <c r="L48" s="3" t="str">
        <f t="shared" si="8"/>
        <v xml:space="preserve"> </v>
      </c>
      <c r="M48" s="3" t="str">
        <f t="shared" si="9"/>
        <v xml:space="preserve"> </v>
      </c>
    </row>
    <row r="49" spans="1:13">
      <c r="A49" s="8"/>
      <c r="B49" s="8"/>
      <c r="C49" s="8"/>
      <c r="D49" s="5" t="str">
        <f t="shared" si="5"/>
        <v xml:space="preserve"> </v>
      </c>
      <c r="E49" s="5" t="str">
        <f ca="1">IF(ISTEXT(C49),IF(D49=INDIRECT("Equations!$B$" &amp; 'Code per Equation'!$G$4+1),"",SEARCH(D49,INDIRECT("Equations!$C$" &amp; 'Code per Equation'!$G$4+1))),"")</f>
        <v/>
      </c>
      <c r="F49" s="8"/>
      <c r="G49" s="8"/>
      <c r="H49" s="8"/>
      <c r="I49" s="8"/>
      <c r="J49" s="3" t="str">
        <f t="shared" si="6"/>
        <v xml:space="preserve"> </v>
      </c>
      <c r="K49" s="3" t="str">
        <f t="shared" si="7"/>
        <v xml:space="preserve"> </v>
      </c>
      <c r="L49" s="3" t="str">
        <f t="shared" si="8"/>
        <v xml:space="preserve"> </v>
      </c>
      <c r="M49" s="3" t="str">
        <f t="shared" si="9"/>
        <v xml:space="preserve"> </v>
      </c>
    </row>
    <row r="50" spans="1:13">
      <c r="A50" s="8"/>
      <c r="B50" s="8"/>
      <c r="C50" s="8"/>
      <c r="D50" s="5" t="str">
        <f t="shared" si="5"/>
        <v xml:space="preserve"> </v>
      </c>
      <c r="E50" s="5" t="str">
        <f ca="1">IF(ISTEXT(C50),IF(D50=INDIRECT("Equations!$B$" &amp; 'Code per Equation'!$G$4+1),"",SEARCH(D50,INDIRECT("Equations!$C$" &amp; 'Code per Equation'!$G$4+1))),"")</f>
        <v/>
      </c>
      <c r="F50" s="8"/>
      <c r="G50" s="8"/>
      <c r="H50" s="8"/>
      <c r="I50" s="8"/>
      <c r="J50" s="3" t="str">
        <f t="shared" si="6"/>
        <v xml:space="preserve"> </v>
      </c>
      <c r="K50" s="3" t="str">
        <f t="shared" si="7"/>
        <v xml:space="preserve"> </v>
      </c>
      <c r="L50" s="3" t="str">
        <f t="shared" si="8"/>
        <v xml:space="preserve"> </v>
      </c>
      <c r="M50" s="3" t="str">
        <f t="shared" si="9"/>
        <v xml:space="preserve"> </v>
      </c>
    </row>
    <row r="51" spans="1:13">
      <c r="A51" s="8"/>
      <c r="B51" s="8"/>
      <c r="C51" s="8"/>
      <c r="D51" s="5" t="str">
        <f t="shared" si="5"/>
        <v xml:space="preserve"> </v>
      </c>
      <c r="E51" s="5" t="str">
        <f ca="1">IF(ISTEXT(C51),IF(D51=INDIRECT("Equations!$B$" &amp; 'Code per Equation'!$G$4+1),"",SEARCH(D51,INDIRECT("Equations!$C$" &amp; 'Code per Equation'!$G$4+1))),"")</f>
        <v/>
      </c>
      <c r="F51" s="8"/>
      <c r="G51" s="8"/>
      <c r="H51" s="8"/>
      <c r="I51" s="8"/>
      <c r="J51" s="3" t="str">
        <f t="shared" si="6"/>
        <v xml:space="preserve"> </v>
      </c>
      <c r="K51" s="3" t="str">
        <f t="shared" si="7"/>
        <v xml:space="preserve"> </v>
      </c>
      <c r="L51" s="3" t="str">
        <f t="shared" si="8"/>
        <v xml:space="preserve"> </v>
      </c>
      <c r="M51" s="3" t="str">
        <f t="shared" si="9"/>
        <v xml:space="preserve"> </v>
      </c>
    </row>
    <row r="52" spans="1:13">
      <c r="A52" s="8"/>
      <c r="B52" s="8"/>
      <c r="C52" s="8"/>
      <c r="D52" s="5" t="str">
        <f t="shared" si="5"/>
        <v xml:space="preserve"> </v>
      </c>
      <c r="E52" s="5" t="str">
        <f ca="1">IF(ISTEXT(C52),IF(D52=INDIRECT("Equations!$B$" &amp; 'Code per Equation'!$G$4+1),"",SEARCH(D52,INDIRECT("Equations!$C$" &amp; 'Code per Equation'!$G$4+1))),"")</f>
        <v/>
      </c>
      <c r="F52" s="8"/>
      <c r="G52" s="8"/>
      <c r="H52" s="8"/>
      <c r="I52" s="8"/>
      <c r="J52" s="3" t="str">
        <f t="shared" si="6"/>
        <v xml:space="preserve"> </v>
      </c>
      <c r="K52" s="3" t="str">
        <f t="shared" si="7"/>
        <v xml:space="preserve"> </v>
      </c>
      <c r="L52" s="3" t="str">
        <f t="shared" si="8"/>
        <v xml:space="preserve"> </v>
      </c>
      <c r="M52" s="3" t="str">
        <f t="shared" si="9"/>
        <v xml:space="preserve"> </v>
      </c>
    </row>
    <row r="53" spans="1:13">
      <c r="A53" s="8"/>
      <c r="B53" s="8"/>
      <c r="C53" s="8"/>
      <c r="D53" s="5" t="str">
        <f t="shared" si="5"/>
        <v xml:space="preserve"> </v>
      </c>
      <c r="E53" s="5" t="str">
        <f ca="1">IF(ISTEXT(C53),IF(D53=INDIRECT("Equations!$B$" &amp; 'Code per Equation'!$G$4+1),"",SEARCH(D53,INDIRECT("Equations!$C$" &amp; 'Code per Equation'!$G$4+1))),"")</f>
        <v/>
      </c>
      <c r="F53" s="8"/>
      <c r="G53" s="8"/>
      <c r="H53" s="8"/>
      <c r="I53" s="8"/>
      <c r="J53" s="3" t="str">
        <f t="shared" si="6"/>
        <v xml:space="preserve"> </v>
      </c>
      <c r="K53" s="3" t="str">
        <f t="shared" si="7"/>
        <v xml:space="preserve"> </v>
      </c>
      <c r="L53" s="3" t="str">
        <f t="shared" si="8"/>
        <v xml:space="preserve"> </v>
      </c>
      <c r="M53" s="3" t="str">
        <f t="shared" si="9"/>
        <v xml:space="preserve"> </v>
      </c>
    </row>
    <row r="54" spans="1:13">
      <c r="A54" s="8"/>
      <c r="B54" s="8"/>
      <c r="C54" s="8"/>
      <c r="D54" s="5" t="str">
        <f t="shared" si="5"/>
        <v xml:space="preserve"> </v>
      </c>
      <c r="E54" s="5" t="str">
        <f ca="1">IF(ISTEXT(C54),IF(D54=INDIRECT("Equations!$B$" &amp; 'Code per Equation'!$G$4+1),"",SEARCH(D54,INDIRECT("Equations!$C$" &amp; 'Code per Equation'!$G$4+1))),"")</f>
        <v/>
      </c>
      <c r="F54" s="8"/>
      <c r="G54" s="8"/>
      <c r="H54" s="8"/>
      <c r="I54" s="8"/>
      <c r="J54" s="3" t="str">
        <f t="shared" si="6"/>
        <v xml:space="preserve"> </v>
      </c>
      <c r="K54" s="3" t="str">
        <f t="shared" si="7"/>
        <v xml:space="preserve"> </v>
      </c>
      <c r="L54" s="3" t="str">
        <f t="shared" si="8"/>
        <v xml:space="preserve"> </v>
      </c>
      <c r="M54" s="3" t="str">
        <f t="shared" si="9"/>
        <v xml:space="preserve"> </v>
      </c>
    </row>
    <row r="55" spans="1:13">
      <c r="A55" s="8"/>
      <c r="B55" s="8"/>
      <c r="C55" s="8"/>
      <c r="D55" s="5" t="str">
        <f t="shared" si="5"/>
        <v xml:space="preserve"> </v>
      </c>
      <c r="E55" s="5" t="str">
        <f ca="1">IF(ISTEXT(C55),IF(D55=INDIRECT("Equations!$B$" &amp; 'Code per Equation'!$G$4+1),"",SEARCH(D55,INDIRECT("Equations!$C$" &amp; 'Code per Equation'!$G$4+1))),"")</f>
        <v/>
      </c>
      <c r="F55" s="8"/>
      <c r="G55" s="8"/>
      <c r="H55" s="8"/>
      <c r="I55" s="8"/>
      <c r="J55" s="3" t="str">
        <f t="shared" si="6"/>
        <v xml:space="preserve"> </v>
      </c>
      <c r="K55" s="3" t="str">
        <f t="shared" si="7"/>
        <v xml:space="preserve"> </v>
      </c>
      <c r="L55" s="3" t="str">
        <f t="shared" si="8"/>
        <v xml:space="preserve"> </v>
      </c>
      <c r="M55" s="3" t="str">
        <f t="shared" si="9"/>
        <v xml:space="preserve"> </v>
      </c>
    </row>
    <row r="56" spans="1:13">
      <c r="A56" s="8"/>
      <c r="B56" s="8"/>
      <c r="C56" s="8"/>
      <c r="D56" s="5" t="str">
        <f t="shared" si="5"/>
        <v xml:space="preserve"> </v>
      </c>
      <c r="E56" s="5" t="str">
        <f ca="1">IF(ISTEXT(C56),IF(D56=INDIRECT("Equations!$B$" &amp; 'Code per Equation'!$G$4+1),"",SEARCH(D56,INDIRECT("Equations!$C$" &amp; 'Code per Equation'!$G$4+1))),"")</f>
        <v/>
      </c>
      <c r="F56" s="8"/>
      <c r="G56" s="8"/>
      <c r="H56" s="8"/>
      <c r="I56" s="8"/>
      <c r="J56" s="3" t="str">
        <f t="shared" si="6"/>
        <v xml:space="preserve"> </v>
      </c>
      <c r="K56" s="3" t="str">
        <f t="shared" si="7"/>
        <v xml:space="preserve"> </v>
      </c>
      <c r="L56" s="3" t="str">
        <f t="shared" si="8"/>
        <v xml:space="preserve"> </v>
      </c>
      <c r="M56" s="3" t="str">
        <f t="shared" si="9"/>
        <v xml:space="preserve"> </v>
      </c>
    </row>
    <row r="57" spans="1:13">
      <c r="A57" s="8"/>
      <c r="B57" s="8"/>
      <c r="C57" s="8"/>
      <c r="D57" s="5" t="str">
        <f t="shared" si="5"/>
        <v xml:space="preserve"> </v>
      </c>
      <c r="E57" s="5" t="str">
        <f ca="1">IF(ISTEXT(C57),IF(D57=INDIRECT("Equations!$B$" &amp; 'Code per Equation'!$G$4+1),"",SEARCH(D57,INDIRECT("Equations!$C$" &amp; 'Code per Equation'!$G$4+1))),"")</f>
        <v/>
      </c>
      <c r="F57" s="8"/>
      <c r="G57" s="8"/>
      <c r="H57" s="8"/>
      <c r="I57" s="8"/>
      <c r="J57" s="3" t="str">
        <f t="shared" si="6"/>
        <v xml:space="preserve"> </v>
      </c>
      <c r="K57" s="3" t="str">
        <f t="shared" si="7"/>
        <v xml:space="preserve"> </v>
      </c>
      <c r="L57" s="3" t="str">
        <f t="shared" si="8"/>
        <v xml:space="preserve"> </v>
      </c>
      <c r="M57" s="3" t="str">
        <f t="shared" si="9"/>
        <v xml:space="preserve"> </v>
      </c>
    </row>
    <row r="58" spans="1:13">
      <c r="A58" s="8"/>
      <c r="B58" s="8"/>
      <c r="C58" s="8"/>
      <c r="D58" s="5" t="str">
        <f t="shared" si="5"/>
        <v xml:space="preserve"> </v>
      </c>
      <c r="E58" s="5" t="str">
        <f ca="1">IF(ISTEXT(C58),IF(D58=INDIRECT("Equations!$B$" &amp; 'Code per Equation'!$G$4+1),"",SEARCH(D58,INDIRECT("Equations!$C$" &amp; 'Code per Equation'!$G$4+1))),"")</f>
        <v/>
      </c>
      <c r="F58" s="8"/>
      <c r="G58" s="8"/>
      <c r="H58" s="8"/>
      <c r="I58" s="8"/>
      <c r="J58" s="3" t="str">
        <f t="shared" si="6"/>
        <v xml:space="preserve"> </v>
      </c>
      <c r="K58" s="3" t="str">
        <f t="shared" si="7"/>
        <v xml:space="preserve"> </v>
      </c>
      <c r="L58" s="3" t="str">
        <f t="shared" si="8"/>
        <v xml:space="preserve"> </v>
      </c>
      <c r="M58" s="3" t="str">
        <f t="shared" si="9"/>
        <v xml:space="preserve"> </v>
      </c>
    </row>
    <row r="59" spans="1:13">
      <c r="A59" s="8"/>
      <c r="B59" s="8"/>
      <c r="C59" s="8"/>
      <c r="D59" s="5" t="str">
        <f t="shared" si="5"/>
        <v xml:space="preserve"> </v>
      </c>
      <c r="E59" s="5" t="str">
        <f ca="1">IF(ISTEXT(C59),IF(D59=INDIRECT("Equations!$B$" &amp; 'Code per Equation'!$G$4+1),"",SEARCH(D59,INDIRECT("Equations!$C$" &amp; 'Code per Equation'!$G$4+1))),"")</f>
        <v/>
      </c>
      <c r="F59" s="8"/>
      <c r="G59" s="8"/>
      <c r="H59" s="8"/>
      <c r="I59" s="8"/>
      <c r="J59" s="3" t="str">
        <f t="shared" si="6"/>
        <v xml:space="preserve"> </v>
      </c>
      <c r="K59" s="3" t="str">
        <f t="shared" si="7"/>
        <v xml:space="preserve"> </v>
      </c>
      <c r="L59" s="3" t="str">
        <f t="shared" si="8"/>
        <v xml:space="preserve"> </v>
      </c>
      <c r="M59" s="3" t="str">
        <f t="shared" si="9"/>
        <v xml:space="preserve"> </v>
      </c>
    </row>
    <row r="60" spans="1:13">
      <c r="A60" s="8"/>
      <c r="B60" s="8"/>
      <c r="C60" s="8"/>
      <c r="D60" s="5" t="str">
        <f t="shared" si="5"/>
        <v xml:space="preserve"> </v>
      </c>
      <c r="E60" s="5" t="str">
        <f ca="1">IF(ISTEXT(C60),IF(D60=INDIRECT("Equations!$B$" &amp; 'Code per Equation'!$G$4+1),"",SEARCH(D60,INDIRECT("Equations!$C$" &amp; 'Code per Equation'!$G$4+1))),"")</f>
        <v/>
      </c>
      <c r="F60" s="8"/>
      <c r="G60" s="8"/>
      <c r="H60" s="8"/>
      <c r="I60" s="8"/>
      <c r="J60" s="3" t="str">
        <f t="shared" si="6"/>
        <v xml:space="preserve"> </v>
      </c>
      <c r="K60" s="3" t="str">
        <f t="shared" si="7"/>
        <v xml:space="preserve"> </v>
      </c>
      <c r="L60" s="3" t="str">
        <f t="shared" si="8"/>
        <v xml:space="preserve"> </v>
      </c>
      <c r="M60" s="3" t="str">
        <f t="shared" si="9"/>
        <v xml:space="preserve"> </v>
      </c>
    </row>
    <row r="61" spans="1:13">
      <c r="A61" s="8"/>
      <c r="B61" s="8"/>
      <c r="C61" s="8"/>
      <c r="D61" s="5" t="str">
        <f t="shared" si="5"/>
        <v xml:space="preserve"> </v>
      </c>
      <c r="E61" s="5" t="str">
        <f ca="1">IF(ISTEXT(C61),IF(D61=INDIRECT("Equations!$B$" &amp; 'Code per Equation'!$G$4+1),"",SEARCH(D61,INDIRECT("Equations!$C$" &amp; 'Code per Equation'!$G$4+1))),"")</f>
        <v/>
      </c>
      <c r="F61" s="8"/>
      <c r="G61" s="8"/>
      <c r="H61" s="8"/>
      <c r="I61" s="8"/>
      <c r="J61" s="3" t="str">
        <f t="shared" si="6"/>
        <v xml:space="preserve"> </v>
      </c>
      <c r="K61" s="3" t="str">
        <f t="shared" si="7"/>
        <v xml:space="preserve"> </v>
      </c>
      <c r="L61" s="3" t="str">
        <f t="shared" si="8"/>
        <v xml:space="preserve"> </v>
      </c>
      <c r="M61" s="3" t="str">
        <f t="shared" si="9"/>
        <v xml:space="preserve"> </v>
      </c>
    </row>
    <row r="62" spans="1:13">
      <c r="A62" s="8"/>
      <c r="B62" s="8"/>
      <c r="C62" s="8"/>
      <c r="D62" s="5" t="str">
        <f t="shared" si="5"/>
        <v xml:space="preserve"> </v>
      </c>
      <c r="E62" s="5" t="str">
        <f ca="1">IF(ISTEXT(C62),IF(D62=INDIRECT("Equations!$B$" &amp; 'Code per Equation'!$G$4+1),"",SEARCH(D62,INDIRECT("Equations!$C$" &amp; 'Code per Equation'!$G$4+1))),"")</f>
        <v/>
      </c>
      <c r="F62" s="8"/>
      <c r="G62" s="8"/>
      <c r="H62" s="8"/>
      <c r="I62" s="8"/>
      <c r="J62" s="3" t="str">
        <f t="shared" si="6"/>
        <v xml:space="preserve"> </v>
      </c>
      <c r="K62" s="3" t="str">
        <f t="shared" si="7"/>
        <v xml:space="preserve"> </v>
      </c>
      <c r="L62" s="3" t="str">
        <f t="shared" si="8"/>
        <v xml:space="preserve"> </v>
      </c>
      <c r="M62" s="3" t="str">
        <f t="shared" si="9"/>
        <v xml:space="preserve"> </v>
      </c>
    </row>
    <row r="63" spans="1:13">
      <c r="A63" s="8"/>
      <c r="B63" s="8"/>
      <c r="C63" s="8"/>
      <c r="D63" s="5" t="str">
        <f t="shared" si="5"/>
        <v xml:space="preserve"> </v>
      </c>
      <c r="E63" s="5" t="str">
        <f ca="1">IF(ISTEXT(C63),IF(D63=INDIRECT("Equations!$B$" &amp; 'Code per Equation'!$G$4+1),"",SEARCH(D63,INDIRECT("Equations!$C$" &amp; 'Code per Equation'!$G$4+1))),"")</f>
        <v/>
      </c>
      <c r="F63" s="8"/>
      <c r="G63" s="8"/>
      <c r="H63" s="8"/>
      <c r="I63" s="8"/>
      <c r="J63" s="3" t="str">
        <f t="shared" si="6"/>
        <v xml:space="preserve"> </v>
      </c>
      <c r="K63" s="3" t="str">
        <f t="shared" si="7"/>
        <v xml:space="preserve"> </v>
      </c>
      <c r="L63" s="3" t="str">
        <f t="shared" si="8"/>
        <v xml:space="preserve"> </v>
      </c>
      <c r="M63" s="3" t="str">
        <f t="shared" si="9"/>
        <v xml:space="preserve"> </v>
      </c>
    </row>
    <row r="64" spans="1:13">
      <c r="A64" s="8"/>
      <c r="B64" s="8"/>
      <c r="C64" s="8"/>
      <c r="D64" s="5" t="str">
        <f t="shared" si="5"/>
        <v xml:space="preserve"> </v>
      </c>
      <c r="E64" s="5" t="str">
        <f ca="1">IF(ISTEXT(C64),IF(D64=INDIRECT("Equations!$B$" &amp; 'Code per Equation'!$G$4+1),"",SEARCH(D64,INDIRECT("Equations!$C$" &amp; 'Code per Equation'!$G$4+1))),"")</f>
        <v/>
      </c>
      <c r="F64" s="8"/>
      <c r="G64" s="8"/>
      <c r="H64" s="8"/>
      <c r="I64" s="8"/>
      <c r="J64" s="3" t="str">
        <f t="shared" si="6"/>
        <v xml:space="preserve"> </v>
      </c>
      <c r="K64" s="3" t="str">
        <f t="shared" si="7"/>
        <v xml:space="preserve"> </v>
      </c>
      <c r="L64" s="3" t="str">
        <f t="shared" si="8"/>
        <v xml:space="preserve"> </v>
      </c>
      <c r="M64" s="3" t="str">
        <f t="shared" si="9"/>
        <v xml:space="preserve"> </v>
      </c>
    </row>
    <row r="65" spans="1:13">
      <c r="A65" s="8"/>
      <c r="B65" s="8"/>
      <c r="C65" s="8"/>
      <c r="D65" s="5" t="str">
        <f t="shared" si="5"/>
        <v xml:space="preserve"> </v>
      </c>
      <c r="E65" s="5" t="str">
        <f ca="1">IF(ISTEXT(C65),IF(D65=INDIRECT("Equations!$B$" &amp; 'Code per Equation'!$G$4+1),"",SEARCH(D65,INDIRECT("Equations!$C$" &amp; 'Code per Equation'!$G$4+1))),"")</f>
        <v/>
      </c>
      <c r="F65" s="8"/>
      <c r="G65" s="8"/>
      <c r="H65" s="8"/>
      <c r="I65" s="8"/>
      <c r="J65" s="3" t="str">
        <f t="shared" si="6"/>
        <v xml:space="preserve"> </v>
      </c>
      <c r="K65" s="3" t="str">
        <f t="shared" si="7"/>
        <v xml:space="preserve"> </v>
      </c>
      <c r="L65" s="3" t="str">
        <f t="shared" si="8"/>
        <v xml:space="preserve"> </v>
      </c>
      <c r="M65" s="3" t="str">
        <f t="shared" si="9"/>
        <v xml:space="preserve"> </v>
      </c>
    </row>
    <row r="66" spans="1:13">
      <c r="A66" s="8"/>
      <c r="B66" s="8"/>
      <c r="C66" s="8"/>
      <c r="D66" s="5" t="str">
        <f t="shared" si="5"/>
        <v xml:space="preserve"> </v>
      </c>
      <c r="E66" s="5" t="str">
        <f ca="1">IF(ISTEXT(C66),IF(D66=INDIRECT("Equations!$B$" &amp; 'Code per Equation'!$G$4+1),"",SEARCH(D66,INDIRECT("Equations!$C$" &amp; 'Code per Equation'!$G$4+1))),"")</f>
        <v/>
      </c>
      <c r="F66" s="8"/>
      <c r="G66" s="8"/>
      <c r="H66" s="8"/>
      <c r="I66" s="8"/>
      <c r="J66" s="3" t="str">
        <f t="shared" si="6"/>
        <v xml:space="preserve"> </v>
      </c>
      <c r="K66" s="3" t="str">
        <f t="shared" si="7"/>
        <v xml:space="preserve"> </v>
      </c>
      <c r="L66" s="3" t="str">
        <f t="shared" si="8"/>
        <v xml:space="preserve"> </v>
      </c>
      <c r="M66" s="3" t="str">
        <f t="shared" si="9"/>
        <v xml:space="preserve"> </v>
      </c>
    </row>
    <row r="67" spans="1:13">
      <c r="A67" s="8"/>
      <c r="B67" s="8"/>
      <c r="C67" s="8"/>
      <c r="D67" s="5" t="str">
        <f t="shared" si="5"/>
        <v xml:space="preserve"> </v>
      </c>
      <c r="E67" s="5" t="str">
        <f ca="1">IF(ISTEXT(C67),IF(D67=INDIRECT("Equations!$B$" &amp; 'Code per Equation'!$G$4+1),"",SEARCH(D67,INDIRECT("Equations!$C$" &amp; 'Code per Equation'!$G$4+1))),"")</f>
        <v/>
      </c>
      <c r="F67" s="8"/>
      <c r="G67" s="8"/>
      <c r="H67" s="8"/>
      <c r="I67" s="8"/>
      <c r="J67" s="3" t="str">
        <f t="shared" si="6"/>
        <v xml:space="preserve"> </v>
      </c>
      <c r="K67" s="3" t="str">
        <f t="shared" si="7"/>
        <v xml:space="preserve"> </v>
      </c>
      <c r="L67" s="3" t="str">
        <f t="shared" si="8"/>
        <v xml:space="preserve"> </v>
      </c>
      <c r="M67" s="3" t="str">
        <f t="shared" si="9"/>
        <v xml:space="preserve"> </v>
      </c>
    </row>
    <row r="68" spans="1:13">
      <c r="A68" s="8"/>
      <c r="B68" s="8"/>
      <c r="C68" s="8"/>
      <c r="D68" s="5" t="str">
        <f t="shared" si="5"/>
        <v xml:space="preserve"> </v>
      </c>
      <c r="E68" s="5" t="str">
        <f ca="1">IF(ISTEXT(C68),IF(D68=INDIRECT("Equations!$B$" &amp; 'Code per Equation'!$G$4+1),"",SEARCH(D68,INDIRECT("Equations!$C$" &amp; 'Code per Equation'!$G$4+1))),"")</f>
        <v/>
      </c>
      <c r="F68" s="8"/>
      <c r="G68" s="8"/>
      <c r="H68" s="8"/>
      <c r="I68" s="8"/>
      <c r="J68" s="3" t="str">
        <f t="shared" si="6"/>
        <v xml:space="preserve"> </v>
      </c>
      <c r="K68" s="3" t="str">
        <f t="shared" si="7"/>
        <v xml:space="preserve"> </v>
      </c>
      <c r="L68" s="3" t="str">
        <f t="shared" si="8"/>
        <v xml:space="preserve"> </v>
      </c>
      <c r="M68" s="3" t="str">
        <f t="shared" si="9"/>
        <v xml:space="preserve"> </v>
      </c>
    </row>
    <row r="69" spans="1:13">
      <c r="A69" s="8"/>
      <c r="B69" s="8"/>
      <c r="C69" s="8"/>
      <c r="D69" s="5" t="str">
        <f t="shared" si="5"/>
        <v xml:space="preserve"> </v>
      </c>
      <c r="E69" s="5" t="str">
        <f ca="1">IF(ISTEXT(C69),IF(D69=INDIRECT("Equations!$B$" &amp; 'Code per Equation'!$G$4+1),"",SEARCH(D69,INDIRECT("Equations!$C$" &amp; 'Code per Equation'!$G$4+1))),"")</f>
        <v/>
      </c>
      <c r="F69" s="8"/>
      <c r="G69" s="8"/>
      <c r="H69" s="8"/>
      <c r="I69" s="8"/>
      <c r="J69" s="3" t="str">
        <f t="shared" si="6"/>
        <v xml:space="preserve"> </v>
      </c>
      <c r="K69" s="3" t="str">
        <f t="shared" si="7"/>
        <v xml:space="preserve"> </v>
      </c>
      <c r="L69" s="3" t="str">
        <f t="shared" si="8"/>
        <v xml:space="preserve"> </v>
      </c>
      <c r="M69" s="3" t="str">
        <f t="shared" si="9"/>
        <v xml:space="preserve"> </v>
      </c>
    </row>
    <row r="70" spans="1:13">
      <c r="A70" s="8"/>
      <c r="B70" s="8"/>
      <c r="C70" s="8"/>
      <c r="D70" s="5" t="str">
        <f t="shared" si="5"/>
        <v xml:space="preserve"> </v>
      </c>
      <c r="E70" s="5" t="str">
        <f ca="1">IF(ISTEXT(C70),IF(D70=INDIRECT("Equations!$B$" &amp; 'Code per Equation'!$G$4+1),"",SEARCH(D70,INDIRECT("Equations!$C$" &amp; 'Code per Equation'!$G$4+1))),"")</f>
        <v/>
      </c>
      <c r="F70" s="8"/>
      <c r="G70" s="8"/>
      <c r="H70" s="8"/>
      <c r="I70" s="8"/>
      <c r="J70" s="3" t="str">
        <f t="shared" si="6"/>
        <v xml:space="preserve"> </v>
      </c>
      <c r="K70" s="3" t="str">
        <f t="shared" si="7"/>
        <v xml:space="preserve"> </v>
      </c>
      <c r="L70" s="3" t="str">
        <f t="shared" si="8"/>
        <v xml:space="preserve"> </v>
      </c>
      <c r="M70" s="3" t="str">
        <f t="shared" si="9"/>
        <v xml:space="preserve"> </v>
      </c>
    </row>
    <row r="71" spans="1:13">
      <c r="A71" s="8"/>
      <c r="B71" s="8"/>
      <c r="C71" s="8"/>
      <c r="D71" s="5" t="str">
        <f t="shared" si="5"/>
        <v xml:space="preserve"> </v>
      </c>
      <c r="E71" s="5" t="str">
        <f ca="1">IF(ISTEXT(C71),IF(D71=INDIRECT("Equations!$B$" &amp; 'Code per Equation'!$G$4+1),"",SEARCH(D71,INDIRECT("Equations!$C$" &amp; 'Code per Equation'!$G$4+1))),"")</f>
        <v/>
      </c>
      <c r="F71" s="8"/>
      <c r="G71" s="8"/>
      <c r="H71" s="8"/>
      <c r="I71" s="8"/>
      <c r="J71" s="3" t="str">
        <f t="shared" si="6"/>
        <v xml:space="preserve"> </v>
      </c>
      <c r="K71" s="3" t="str">
        <f t="shared" si="7"/>
        <v xml:space="preserve"> </v>
      </c>
      <c r="L71" s="3" t="str">
        <f t="shared" si="8"/>
        <v xml:space="preserve"> </v>
      </c>
      <c r="M71" s="3" t="str">
        <f t="shared" si="9"/>
        <v xml:space="preserve"> </v>
      </c>
    </row>
    <row r="72" spans="1:13">
      <c r="A72" s="8"/>
      <c r="B72" s="8"/>
      <c r="C72" s="8"/>
      <c r="D72" s="5" t="str">
        <f t="shared" si="5"/>
        <v xml:space="preserve"> </v>
      </c>
      <c r="E72" s="5" t="str">
        <f ca="1">IF(ISTEXT(C72),IF(D72=INDIRECT("Equations!$B$" &amp; 'Code per Equation'!$G$4+1),"",SEARCH(D72,INDIRECT("Equations!$C$" &amp; 'Code per Equation'!$G$4+1))),"")</f>
        <v/>
      </c>
      <c r="F72" s="8"/>
      <c r="G72" s="8"/>
      <c r="H72" s="8"/>
      <c r="I72" s="8"/>
      <c r="J72" s="3" t="str">
        <f t="shared" si="6"/>
        <v xml:space="preserve"> </v>
      </c>
      <c r="K72" s="3" t="str">
        <f t="shared" si="7"/>
        <v xml:space="preserve"> </v>
      </c>
      <c r="L72" s="3" t="str">
        <f t="shared" si="8"/>
        <v xml:space="preserve"> </v>
      </c>
      <c r="M72" s="3" t="str">
        <f t="shared" si="9"/>
        <v xml:space="preserve"> </v>
      </c>
    </row>
    <row r="73" spans="1:13">
      <c r="A73" s="8"/>
      <c r="B73" s="8"/>
      <c r="C73" s="8"/>
      <c r="D73" s="5" t="str">
        <f t="shared" si="5"/>
        <v xml:space="preserve"> </v>
      </c>
      <c r="E73" s="5" t="str">
        <f ca="1">IF(ISTEXT(C73),IF(D73=INDIRECT("Equations!$B$" &amp; 'Code per Equation'!$G$4+1),"",SEARCH(D73,INDIRECT("Equations!$C$" &amp; 'Code per Equation'!$G$4+1))),"")</f>
        <v/>
      </c>
      <c r="F73" s="8"/>
      <c r="G73" s="8"/>
      <c r="H73" s="8"/>
      <c r="I73" s="8"/>
      <c r="J73" s="3" t="str">
        <f t="shared" si="6"/>
        <v xml:space="preserve"> </v>
      </c>
      <c r="K73" s="3" t="str">
        <f t="shared" si="7"/>
        <v xml:space="preserve"> </v>
      </c>
      <c r="L73" s="3" t="str">
        <f t="shared" si="8"/>
        <v xml:space="preserve"> </v>
      </c>
      <c r="M73" s="3" t="str">
        <f t="shared" si="9"/>
        <v xml:space="preserve"> </v>
      </c>
    </row>
    <row r="74" spans="1:13">
      <c r="A74" s="8"/>
      <c r="B74" s="8"/>
      <c r="C74" s="8"/>
      <c r="D74" s="5" t="str">
        <f t="shared" si="5"/>
        <v xml:space="preserve"> </v>
      </c>
      <c r="E74" s="5" t="str">
        <f ca="1">IF(ISTEXT(C74),IF(D74=INDIRECT("Equations!$B$" &amp; 'Code per Equation'!$G$4+1),"",SEARCH(D74,INDIRECT("Equations!$C$" &amp; 'Code per Equation'!$G$4+1))),"")</f>
        <v/>
      </c>
      <c r="F74" s="8"/>
      <c r="G74" s="8"/>
      <c r="H74" s="8"/>
      <c r="I74" s="8"/>
      <c r="J74" s="3" t="str">
        <f t="shared" si="6"/>
        <v xml:space="preserve"> </v>
      </c>
      <c r="K74" s="3" t="str">
        <f t="shared" si="7"/>
        <v xml:space="preserve"> </v>
      </c>
      <c r="L74" s="3" t="str">
        <f t="shared" si="8"/>
        <v xml:space="preserve"> </v>
      </c>
      <c r="M74" s="3" t="str">
        <f t="shared" si="9"/>
        <v xml:space="preserve"> </v>
      </c>
    </row>
    <row r="75" spans="1:13">
      <c r="A75" s="8"/>
      <c r="B75" s="8"/>
      <c r="C75" s="8"/>
      <c r="D75" s="5" t="str">
        <f t="shared" ref="D75:D138" si="10">IF(ISBLANK(C75)," ",CONCATENATE("{",C75,"}"))</f>
        <v xml:space="preserve"> </v>
      </c>
      <c r="E75" s="5" t="str">
        <f ca="1">IF(ISTEXT(C75),IF(D75=INDIRECT("Equations!$B$" &amp; 'Code per Equation'!$G$4+1),"",SEARCH(D75,INDIRECT("Equations!$C$" &amp; 'Code per Equation'!$G$4+1))),"")</f>
        <v/>
      </c>
      <c r="F75" s="8"/>
      <c r="G75" s="8"/>
      <c r="H75" s="8"/>
      <c r="I75" s="8"/>
      <c r="J75" s="3" t="str">
        <f t="shared" ref="J75:J138" si="11">IF(ISBLANK(C75)," ",CONCATENATE("\newcommand{",F75,"}{",H75,"}"))</f>
        <v xml:space="preserve"> </v>
      </c>
      <c r="K75" s="3" t="str">
        <f t="shared" ref="K75:K138" si="12">IF(ISBLANK(C75)," ",CONCATENATE("\newglossaryentry{",B75,"}{name={$",C75,"$},description={",F75,"},unit={\si{\",I75,"}},type=symbolslist,sort=","1}"))</f>
        <v xml:space="preserve"> </v>
      </c>
      <c r="L75" s="3" t="str">
        <f t="shared" ref="L75:L138" si="13">IF(ISBLANK(C75)," ",CONCATENATE("\newcommand{",G75,"}{\parbox[t]{","\widtheqparameter","}","{",F75,"}\hspace{","\widtheqwhitespace","}[\si{","\",I75,"}]}"))</f>
        <v xml:space="preserve"> </v>
      </c>
      <c r="M75" s="3" t="str">
        <f t="shared" ref="M75:M138" si="14">IF(ISBLANK(C75)," ",CONCATENATE(C75," &amp; ",G75," \\"))</f>
        <v xml:space="preserve"> </v>
      </c>
    </row>
    <row r="76" spans="1:13">
      <c r="A76" s="8"/>
      <c r="B76" s="8"/>
      <c r="C76" s="8"/>
      <c r="D76" s="5" t="str">
        <f t="shared" si="10"/>
        <v xml:space="preserve"> </v>
      </c>
      <c r="E76" s="5" t="str">
        <f ca="1">IF(ISTEXT(C76),IF(D76=INDIRECT("Equations!$B$" &amp; 'Code per Equation'!$G$4+1),"",SEARCH(D76,INDIRECT("Equations!$C$" &amp; 'Code per Equation'!$G$4+1))),"")</f>
        <v/>
      </c>
      <c r="F76" s="8"/>
      <c r="G76" s="8"/>
      <c r="H76" s="8"/>
      <c r="I76" s="8"/>
      <c r="J76" s="3" t="str">
        <f t="shared" si="11"/>
        <v xml:space="preserve"> </v>
      </c>
      <c r="K76" s="3" t="str">
        <f t="shared" si="12"/>
        <v xml:space="preserve"> </v>
      </c>
      <c r="L76" s="3" t="str">
        <f t="shared" si="13"/>
        <v xml:space="preserve"> </v>
      </c>
      <c r="M76" s="3" t="str">
        <f t="shared" si="14"/>
        <v xml:space="preserve"> </v>
      </c>
    </row>
    <row r="77" spans="1:13">
      <c r="A77" s="8"/>
      <c r="B77" s="8"/>
      <c r="C77" s="8"/>
      <c r="D77" s="5" t="str">
        <f t="shared" si="10"/>
        <v xml:space="preserve"> </v>
      </c>
      <c r="E77" s="5" t="str">
        <f ca="1">IF(ISTEXT(C77),IF(D77=INDIRECT("Equations!$B$" &amp; 'Code per Equation'!$G$4+1),"",SEARCH(D77,INDIRECT("Equations!$C$" &amp; 'Code per Equation'!$G$4+1))),"")</f>
        <v/>
      </c>
      <c r="F77" s="8"/>
      <c r="G77" s="8"/>
      <c r="H77" s="8"/>
      <c r="I77" s="8"/>
      <c r="J77" s="3" t="str">
        <f t="shared" si="11"/>
        <v xml:space="preserve"> </v>
      </c>
      <c r="K77" s="3" t="str">
        <f t="shared" si="12"/>
        <v xml:space="preserve"> </v>
      </c>
      <c r="L77" s="3" t="str">
        <f t="shared" si="13"/>
        <v xml:space="preserve"> </v>
      </c>
      <c r="M77" s="3" t="str">
        <f t="shared" si="14"/>
        <v xml:space="preserve"> </v>
      </c>
    </row>
    <row r="78" spans="1:13">
      <c r="A78" s="8"/>
      <c r="B78" s="8"/>
      <c r="C78" s="8"/>
      <c r="D78" s="5" t="str">
        <f t="shared" si="10"/>
        <v xml:space="preserve"> </v>
      </c>
      <c r="E78" s="5" t="str">
        <f ca="1">IF(ISTEXT(C78),IF(D78=INDIRECT("Equations!$B$" &amp; 'Code per Equation'!$G$4+1),"",SEARCH(D78,INDIRECT("Equations!$C$" &amp; 'Code per Equation'!$G$4+1))),"")</f>
        <v/>
      </c>
      <c r="F78" s="8"/>
      <c r="G78" s="8"/>
      <c r="H78" s="8"/>
      <c r="I78" s="8"/>
      <c r="J78" s="3" t="str">
        <f t="shared" si="11"/>
        <v xml:space="preserve"> </v>
      </c>
      <c r="K78" s="3" t="str">
        <f t="shared" si="12"/>
        <v xml:space="preserve"> </v>
      </c>
      <c r="L78" s="3" t="str">
        <f t="shared" si="13"/>
        <v xml:space="preserve"> </v>
      </c>
      <c r="M78" s="3" t="str">
        <f t="shared" si="14"/>
        <v xml:space="preserve"> </v>
      </c>
    </row>
    <row r="79" spans="1:13">
      <c r="A79" s="8"/>
      <c r="B79" s="8"/>
      <c r="C79" s="8"/>
      <c r="D79" s="5" t="str">
        <f t="shared" si="10"/>
        <v xml:space="preserve"> </v>
      </c>
      <c r="E79" s="5" t="str">
        <f ca="1">IF(ISTEXT(C79),IF(D79=INDIRECT("Equations!$B$" &amp; 'Code per Equation'!$G$4+1),"",SEARCH(D79,INDIRECT("Equations!$C$" &amp; 'Code per Equation'!$G$4+1))),"")</f>
        <v/>
      </c>
      <c r="F79" s="8"/>
      <c r="G79" s="8"/>
      <c r="H79" s="8"/>
      <c r="I79" s="8"/>
      <c r="J79" s="3" t="str">
        <f t="shared" si="11"/>
        <v xml:space="preserve"> </v>
      </c>
      <c r="K79" s="3" t="str">
        <f t="shared" si="12"/>
        <v xml:space="preserve"> </v>
      </c>
      <c r="L79" s="3" t="str">
        <f t="shared" si="13"/>
        <v xml:space="preserve"> </v>
      </c>
      <c r="M79" s="3" t="str">
        <f t="shared" si="14"/>
        <v xml:space="preserve"> </v>
      </c>
    </row>
    <row r="80" spans="1:13">
      <c r="A80" s="8"/>
      <c r="B80" s="8"/>
      <c r="C80" s="8"/>
      <c r="D80" s="5" t="str">
        <f t="shared" si="10"/>
        <v xml:space="preserve"> </v>
      </c>
      <c r="E80" s="5" t="str">
        <f ca="1">IF(ISTEXT(C80),IF(D80=INDIRECT("Equations!$B$" &amp; 'Code per Equation'!$G$4+1),"",SEARCH(D80,INDIRECT("Equations!$C$" &amp; 'Code per Equation'!$G$4+1))),"")</f>
        <v/>
      </c>
      <c r="F80" s="8"/>
      <c r="G80" s="8"/>
      <c r="H80" s="8"/>
      <c r="I80" s="8"/>
      <c r="J80" s="3" t="str">
        <f t="shared" si="11"/>
        <v xml:space="preserve"> </v>
      </c>
      <c r="K80" s="3" t="str">
        <f t="shared" si="12"/>
        <v xml:space="preserve"> </v>
      </c>
      <c r="L80" s="3" t="str">
        <f t="shared" si="13"/>
        <v xml:space="preserve"> </v>
      </c>
      <c r="M80" s="3" t="str">
        <f t="shared" si="14"/>
        <v xml:space="preserve"> </v>
      </c>
    </row>
    <row r="81" spans="1:13">
      <c r="A81" s="8"/>
      <c r="B81" s="8"/>
      <c r="C81" s="8"/>
      <c r="D81" s="5" t="str">
        <f t="shared" si="10"/>
        <v xml:space="preserve"> </v>
      </c>
      <c r="E81" s="5" t="str">
        <f ca="1">IF(ISTEXT(C81),IF(D81=INDIRECT("Equations!$B$" &amp; 'Code per Equation'!$G$4+1),"",SEARCH(D81,INDIRECT("Equations!$C$" &amp; 'Code per Equation'!$G$4+1))),"")</f>
        <v/>
      </c>
      <c r="F81" s="8"/>
      <c r="G81" s="8"/>
      <c r="H81" s="8"/>
      <c r="I81" s="8"/>
      <c r="J81" s="3" t="str">
        <f t="shared" si="11"/>
        <v xml:space="preserve"> </v>
      </c>
      <c r="K81" s="3" t="str">
        <f t="shared" si="12"/>
        <v xml:space="preserve"> </v>
      </c>
      <c r="L81" s="3" t="str">
        <f t="shared" si="13"/>
        <v xml:space="preserve"> </v>
      </c>
      <c r="M81" s="3" t="str">
        <f t="shared" si="14"/>
        <v xml:space="preserve"> </v>
      </c>
    </row>
    <row r="82" spans="1:13">
      <c r="A82" s="8"/>
      <c r="B82" s="8"/>
      <c r="C82" s="8"/>
      <c r="D82" s="5" t="str">
        <f t="shared" si="10"/>
        <v xml:space="preserve"> </v>
      </c>
      <c r="E82" s="5" t="str">
        <f ca="1">IF(ISTEXT(C82),IF(D82=INDIRECT("Equations!$B$" &amp; 'Code per Equation'!$G$4+1),"",SEARCH(D82,INDIRECT("Equations!$C$" &amp; 'Code per Equation'!$G$4+1))),"")</f>
        <v/>
      </c>
      <c r="F82" s="8"/>
      <c r="G82" s="8"/>
      <c r="H82" s="8"/>
      <c r="I82" s="8"/>
      <c r="J82" s="3" t="str">
        <f t="shared" si="11"/>
        <v xml:space="preserve"> </v>
      </c>
      <c r="K82" s="3" t="str">
        <f t="shared" si="12"/>
        <v xml:space="preserve"> </v>
      </c>
      <c r="L82" s="3" t="str">
        <f t="shared" si="13"/>
        <v xml:space="preserve"> </v>
      </c>
      <c r="M82" s="3" t="str">
        <f t="shared" si="14"/>
        <v xml:space="preserve"> </v>
      </c>
    </row>
    <row r="83" spans="1:13">
      <c r="A83" s="8"/>
      <c r="B83" s="8"/>
      <c r="C83" s="8"/>
      <c r="D83" s="5" t="str">
        <f t="shared" si="10"/>
        <v xml:space="preserve"> </v>
      </c>
      <c r="E83" s="5" t="str">
        <f ca="1">IF(ISTEXT(C83),IF(D83=INDIRECT("Equations!$B$" &amp; 'Code per Equation'!$G$4+1),"",SEARCH(D83,INDIRECT("Equations!$C$" &amp; 'Code per Equation'!$G$4+1))),"")</f>
        <v/>
      </c>
      <c r="F83" s="8"/>
      <c r="G83" s="8"/>
      <c r="H83" s="8"/>
      <c r="I83" s="8"/>
      <c r="J83" s="3" t="str">
        <f t="shared" si="11"/>
        <v xml:space="preserve"> </v>
      </c>
      <c r="K83" s="3" t="str">
        <f t="shared" si="12"/>
        <v xml:space="preserve"> </v>
      </c>
      <c r="L83" s="3" t="str">
        <f t="shared" si="13"/>
        <v xml:space="preserve"> </v>
      </c>
      <c r="M83" s="3" t="str">
        <f t="shared" si="14"/>
        <v xml:space="preserve"> </v>
      </c>
    </row>
    <row r="84" spans="1:13">
      <c r="A84" s="8"/>
      <c r="B84" s="8"/>
      <c r="C84" s="8"/>
      <c r="D84" s="5" t="str">
        <f t="shared" si="10"/>
        <v xml:space="preserve"> </v>
      </c>
      <c r="E84" s="5" t="str">
        <f ca="1">IF(ISTEXT(C84),IF(D84=INDIRECT("Equations!$B$" &amp; 'Code per Equation'!$G$4+1),"",SEARCH(D84,INDIRECT("Equations!$C$" &amp; 'Code per Equation'!$G$4+1))),"")</f>
        <v/>
      </c>
      <c r="F84" s="8"/>
      <c r="G84" s="8"/>
      <c r="H84" s="8"/>
      <c r="I84" s="8"/>
      <c r="J84" s="3" t="str">
        <f t="shared" si="11"/>
        <v xml:space="preserve"> </v>
      </c>
      <c r="K84" s="3" t="str">
        <f t="shared" si="12"/>
        <v xml:space="preserve"> </v>
      </c>
      <c r="L84" s="3" t="str">
        <f t="shared" si="13"/>
        <v xml:space="preserve"> </v>
      </c>
      <c r="M84" s="3" t="str">
        <f t="shared" si="14"/>
        <v xml:space="preserve"> </v>
      </c>
    </row>
    <row r="85" spans="1:13">
      <c r="A85" s="8"/>
      <c r="B85" s="8"/>
      <c r="C85" s="8"/>
      <c r="D85" s="5" t="str">
        <f t="shared" si="10"/>
        <v xml:space="preserve"> </v>
      </c>
      <c r="E85" s="5" t="str">
        <f ca="1">IF(ISTEXT(C85),IF(D85=INDIRECT("Equations!$B$" &amp; 'Code per Equation'!$G$4+1),"",SEARCH(D85,INDIRECT("Equations!$C$" &amp; 'Code per Equation'!$G$4+1))),"")</f>
        <v/>
      </c>
      <c r="F85" s="8"/>
      <c r="G85" s="8"/>
      <c r="H85" s="8"/>
      <c r="I85" s="8"/>
      <c r="J85" s="3" t="str">
        <f t="shared" si="11"/>
        <v xml:space="preserve"> </v>
      </c>
      <c r="K85" s="3" t="str">
        <f t="shared" si="12"/>
        <v xml:space="preserve"> </v>
      </c>
      <c r="L85" s="3" t="str">
        <f t="shared" si="13"/>
        <v xml:space="preserve"> </v>
      </c>
      <c r="M85" s="3" t="str">
        <f t="shared" si="14"/>
        <v xml:space="preserve"> </v>
      </c>
    </row>
    <row r="86" spans="1:13">
      <c r="A86" s="8"/>
      <c r="B86" s="8"/>
      <c r="C86" s="8"/>
      <c r="D86" s="5" t="str">
        <f t="shared" si="10"/>
        <v xml:space="preserve"> </v>
      </c>
      <c r="E86" s="5" t="str">
        <f ca="1">IF(ISTEXT(C86),IF(D86=INDIRECT("Equations!$B$" &amp; 'Code per Equation'!$G$4+1),"",SEARCH(D86,INDIRECT("Equations!$C$" &amp; 'Code per Equation'!$G$4+1))),"")</f>
        <v/>
      </c>
      <c r="F86" s="8"/>
      <c r="G86" s="8"/>
      <c r="H86" s="8"/>
      <c r="I86" s="8"/>
      <c r="J86" s="3" t="str">
        <f t="shared" si="11"/>
        <v xml:space="preserve"> </v>
      </c>
      <c r="K86" s="3" t="str">
        <f t="shared" si="12"/>
        <v xml:space="preserve"> </v>
      </c>
      <c r="L86" s="3" t="str">
        <f t="shared" si="13"/>
        <v xml:space="preserve"> </v>
      </c>
      <c r="M86" s="3" t="str">
        <f t="shared" si="14"/>
        <v xml:space="preserve"> </v>
      </c>
    </row>
    <row r="87" spans="1:13">
      <c r="A87" s="8"/>
      <c r="B87" s="8"/>
      <c r="C87" s="8"/>
      <c r="D87" s="5" t="str">
        <f t="shared" si="10"/>
        <v xml:space="preserve"> </v>
      </c>
      <c r="E87" s="5" t="str">
        <f ca="1">IF(ISTEXT(C87),IF(D87=INDIRECT("Equations!$B$" &amp; 'Code per Equation'!$G$4+1),"",SEARCH(D87,INDIRECT("Equations!$C$" &amp; 'Code per Equation'!$G$4+1))),"")</f>
        <v/>
      </c>
      <c r="F87" s="8"/>
      <c r="G87" s="8"/>
      <c r="H87" s="8"/>
      <c r="I87" s="8"/>
      <c r="J87" s="3" t="str">
        <f t="shared" si="11"/>
        <v xml:space="preserve"> </v>
      </c>
      <c r="K87" s="3" t="str">
        <f t="shared" si="12"/>
        <v xml:space="preserve"> </v>
      </c>
      <c r="L87" s="3" t="str">
        <f t="shared" si="13"/>
        <v xml:space="preserve"> </v>
      </c>
      <c r="M87" s="3" t="str">
        <f t="shared" si="14"/>
        <v xml:space="preserve"> </v>
      </c>
    </row>
    <row r="88" spans="1:13">
      <c r="A88" s="8"/>
      <c r="B88" s="8"/>
      <c r="C88" s="8"/>
      <c r="D88" s="5" t="str">
        <f t="shared" si="10"/>
        <v xml:space="preserve"> </v>
      </c>
      <c r="E88" s="5" t="str">
        <f ca="1">IF(ISTEXT(C88),IF(D88=INDIRECT("Equations!$B$" &amp; 'Code per Equation'!$G$4+1),"",SEARCH(D88,INDIRECT("Equations!$C$" &amp; 'Code per Equation'!$G$4+1))),"")</f>
        <v/>
      </c>
      <c r="F88" s="8"/>
      <c r="G88" s="8"/>
      <c r="H88" s="8"/>
      <c r="I88" s="8"/>
      <c r="J88" s="3" t="str">
        <f t="shared" si="11"/>
        <v xml:space="preserve"> </v>
      </c>
      <c r="K88" s="3" t="str">
        <f t="shared" si="12"/>
        <v xml:space="preserve"> </v>
      </c>
      <c r="L88" s="3" t="str">
        <f t="shared" si="13"/>
        <v xml:space="preserve"> </v>
      </c>
      <c r="M88" s="3" t="str">
        <f t="shared" si="14"/>
        <v xml:space="preserve"> </v>
      </c>
    </row>
    <row r="89" spans="1:13">
      <c r="A89" s="8"/>
      <c r="B89" s="8"/>
      <c r="C89" s="8"/>
      <c r="D89" s="5" t="str">
        <f t="shared" si="10"/>
        <v xml:space="preserve"> </v>
      </c>
      <c r="E89" s="5" t="str">
        <f ca="1">IF(ISTEXT(C89),IF(D89=INDIRECT("Equations!$B$" &amp; 'Code per Equation'!$G$4+1),"",SEARCH(D89,INDIRECT("Equations!$C$" &amp; 'Code per Equation'!$G$4+1))),"")</f>
        <v/>
      </c>
      <c r="F89" s="8"/>
      <c r="G89" s="8"/>
      <c r="H89" s="8"/>
      <c r="I89" s="8"/>
      <c r="J89" s="3" t="str">
        <f t="shared" si="11"/>
        <v xml:space="preserve"> </v>
      </c>
      <c r="K89" s="3" t="str">
        <f t="shared" si="12"/>
        <v xml:space="preserve"> </v>
      </c>
      <c r="L89" s="3" t="str">
        <f t="shared" si="13"/>
        <v xml:space="preserve"> </v>
      </c>
      <c r="M89" s="3" t="str">
        <f t="shared" si="14"/>
        <v xml:space="preserve"> </v>
      </c>
    </row>
    <row r="90" spans="1:13">
      <c r="A90" s="8"/>
      <c r="B90" s="8"/>
      <c r="C90" s="8"/>
      <c r="D90" s="5" t="str">
        <f t="shared" si="10"/>
        <v xml:space="preserve"> </v>
      </c>
      <c r="E90" s="5" t="str">
        <f ca="1">IF(ISTEXT(C90),IF(D90=INDIRECT("Equations!$B$" &amp; 'Code per Equation'!$G$4+1),"",SEARCH(D90,INDIRECT("Equations!$C$" &amp; 'Code per Equation'!$G$4+1))),"")</f>
        <v/>
      </c>
      <c r="F90" s="8"/>
      <c r="G90" s="8"/>
      <c r="H90" s="8"/>
      <c r="I90" s="8"/>
      <c r="J90" s="3" t="str">
        <f t="shared" si="11"/>
        <v xml:space="preserve"> </v>
      </c>
      <c r="K90" s="3" t="str">
        <f t="shared" si="12"/>
        <v xml:space="preserve"> </v>
      </c>
      <c r="L90" s="3" t="str">
        <f t="shared" si="13"/>
        <v xml:space="preserve"> </v>
      </c>
      <c r="M90" s="3" t="str">
        <f t="shared" si="14"/>
        <v xml:space="preserve"> </v>
      </c>
    </row>
    <row r="91" spans="1:13">
      <c r="A91" s="8"/>
      <c r="B91" s="8"/>
      <c r="C91" s="8"/>
      <c r="D91" s="5" t="str">
        <f t="shared" si="10"/>
        <v xml:space="preserve"> </v>
      </c>
      <c r="E91" s="5" t="str">
        <f ca="1">IF(ISTEXT(C91),IF(D91=INDIRECT("Equations!$B$" &amp; 'Code per Equation'!$G$4+1),"",SEARCH(D91,INDIRECT("Equations!$C$" &amp; 'Code per Equation'!$G$4+1))),"")</f>
        <v/>
      </c>
      <c r="F91" s="8"/>
      <c r="G91" s="8"/>
      <c r="H91" s="8"/>
      <c r="I91" s="8"/>
      <c r="J91" s="3" t="str">
        <f t="shared" si="11"/>
        <v xml:space="preserve"> </v>
      </c>
      <c r="K91" s="3" t="str">
        <f t="shared" si="12"/>
        <v xml:space="preserve"> </v>
      </c>
      <c r="L91" s="3" t="str">
        <f t="shared" si="13"/>
        <v xml:space="preserve"> </v>
      </c>
      <c r="M91" s="3" t="str">
        <f t="shared" si="14"/>
        <v xml:space="preserve"> </v>
      </c>
    </row>
    <row r="92" spans="1:13">
      <c r="A92" s="8"/>
      <c r="B92" s="8"/>
      <c r="C92" s="8"/>
      <c r="D92" s="5" t="str">
        <f t="shared" si="10"/>
        <v xml:space="preserve"> </v>
      </c>
      <c r="E92" s="5" t="str">
        <f ca="1">IF(ISTEXT(C92),IF(D92=INDIRECT("Equations!$B$" &amp; 'Code per Equation'!$G$4+1),"",SEARCH(D92,INDIRECT("Equations!$C$" &amp; 'Code per Equation'!$G$4+1))),"")</f>
        <v/>
      </c>
      <c r="F92" s="8"/>
      <c r="G92" s="8"/>
      <c r="H92" s="8"/>
      <c r="I92" s="8"/>
      <c r="J92" s="3" t="str">
        <f t="shared" si="11"/>
        <v xml:space="preserve"> </v>
      </c>
      <c r="K92" s="3" t="str">
        <f t="shared" si="12"/>
        <v xml:space="preserve"> </v>
      </c>
      <c r="L92" s="3" t="str">
        <f t="shared" si="13"/>
        <v xml:space="preserve"> </v>
      </c>
      <c r="M92" s="3" t="str">
        <f t="shared" si="14"/>
        <v xml:space="preserve"> </v>
      </c>
    </row>
    <row r="93" spans="1:13">
      <c r="A93" s="8"/>
      <c r="B93" s="8"/>
      <c r="C93" s="8"/>
      <c r="D93" s="5" t="str">
        <f t="shared" si="10"/>
        <v xml:space="preserve"> </v>
      </c>
      <c r="E93" s="5" t="str">
        <f ca="1">IF(ISTEXT(C93),IF(D93=INDIRECT("Equations!$B$" &amp; 'Code per Equation'!$G$4+1),"",SEARCH(D93,INDIRECT("Equations!$C$" &amp; 'Code per Equation'!$G$4+1))),"")</f>
        <v/>
      </c>
      <c r="F93" s="8"/>
      <c r="G93" s="8"/>
      <c r="H93" s="8"/>
      <c r="I93" s="8"/>
      <c r="J93" s="3" t="str">
        <f t="shared" si="11"/>
        <v xml:space="preserve"> </v>
      </c>
      <c r="K93" s="3" t="str">
        <f t="shared" si="12"/>
        <v xml:space="preserve"> </v>
      </c>
      <c r="L93" s="3" t="str">
        <f t="shared" si="13"/>
        <v xml:space="preserve"> </v>
      </c>
      <c r="M93" s="3" t="str">
        <f t="shared" si="14"/>
        <v xml:space="preserve"> </v>
      </c>
    </row>
    <row r="94" spans="1:13">
      <c r="A94" s="8"/>
      <c r="B94" s="8"/>
      <c r="C94" s="8"/>
      <c r="D94" s="5" t="str">
        <f t="shared" si="10"/>
        <v xml:space="preserve"> </v>
      </c>
      <c r="E94" s="5" t="str">
        <f ca="1">IF(ISTEXT(C94),IF(D94=INDIRECT("Equations!$B$" &amp; 'Code per Equation'!$G$4+1),"",SEARCH(D94,INDIRECT("Equations!$C$" &amp; 'Code per Equation'!$G$4+1))),"")</f>
        <v/>
      </c>
      <c r="F94" s="8"/>
      <c r="G94" s="8"/>
      <c r="H94" s="8"/>
      <c r="I94" s="8"/>
      <c r="J94" s="3" t="str">
        <f t="shared" si="11"/>
        <v xml:space="preserve"> </v>
      </c>
      <c r="K94" s="3" t="str">
        <f t="shared" si="12"/>
        <v xml:space="preserve"> </v>
      </c>
      <c r="L94" s="3" t="str">
        <f t="shared" si="13"/>
        <v xml:space="preserve"> </v>
      </c>
      <c r="M94" s="3" t="str">
        <f t="shared" si="14"/>
        <v xml:space="preserve"> </v>
      </c>
    </row>
    <row r="95" spans="1:13">
      <c r="A95" s="8"/>
      <c r="B95" s="8"/>
      <c r="C95" s="8"/>
      <c r="D95" s="5" t="str">
        <f t="shared" si="10"/>
        <v xml:space="preserve"> </v>
      </c>
      <c r="E95" s="5" t="str">
        <f ca="1">IF(ISTEXT(C95),IF(D95=INDIRECT("Equations!$B$" &amp; 'Code per Equation'!$G$4+1),"",SEARCH(D95,INDIRECT("Equations!$C$" &amp; 'Code per Equation'!$G$4+1))),"")</f>
        <v/>
      </c>
      <c r="F95" s="8"/>
      <c r="G95" s="8"/>
      <c r="H95" s="8"/>
      <c r="I95" s="8"/>
      <c r="J95" s="3" t="str">
        <f t="shared" si="11"/>
        <v xml:space="preserve"> </v>
      </c>
      <c r="K95" s="3" t="str">
        <f t="shared" si="12"/>
        <v xml:space="preserve"> </v>
      </c>
      <c r="L95" s="3" t="str">
        <f t="shared" si="13"/>
        <v xml:space="preserve"> </v>
      </c>
      <c r="M95" s="3" t="str">
        <f t="shared" si="14"/>
        <v xml:space="preserve"> </v>
      </c>
    </row>
    <row r="96" spans="1:13">
      <c r="A96" s="8"/>
      <c r="B96" s="8"/>
      <c r="C96" s="8"/>
      <c r="D96" s="5" t="str">
        <f t="shared" si="10"/>
        <v xml:space="preserve"> </v>
      </c>
      <c r="E96" s="5" t="str">
        <f ca="1">IF(ISTEXT(C96),IF(D96=INDIRECT("Equations!$B$" &amp; 'Code per Equation'!$G$4+1),"",SEARCH(D96,INDIRECT("Equations!$C$" &amp; 'Code per Equation'!$G$4+1))),"")</f>
        <v/>
      </c>
      <c r="F96" s="8"/>
      <c r="G96" s="8"/>
      <c r="H96" s="8"/>
      <c r="I96" s="8"/>
      <c r="J96" s="3" t="str">
        <f t="shared" si="11"/>
        <v xml:space="preserve"> </v>
      </c>
      <c r="K96" s="3" t="str">
        <f t="shared" si="12"/>
        <v xml:space="preserve"> </v>
      </c>
      <c r="L96" s="3" t="str">
        <f t="shared" si="13"/>
        <v xml:space="preserve"> </v>
      </c>
      <c r="M96" s="3" t="str">
        <f t="shared" si="14"/>
        <v xml:space="preserve"> </v>
      </c>
    </row>
    <row r="97" spans="1:13">
      <c r="A97" s="8"/>
      <c r="B97" s="8"/>
      <c r="C97" s="8"/>
      <c r="D97" s="5" t="str">
        <f t="shared" si="10"/>
        <v xml:space="preserve"> </v>
      </c>
      <c r="E97" s="5" t="str">
        <f ca="1">IF(ISTEXT(C97),IF(D97=INDIRECT("Equations!$B$" &amp; 'Code per Equation'!$G$4+1),"",SEARCH(D97,INDIRECT("Equations!$C$" &amp; 'Code per Equation'!$G$4+1))),"")</f>
        <v/>
      </c>
      <c r="F97" s="8"/>
      <c r="G97" s="8"/>
      <c r="H97" s="8"/>
      <c r="I97" s="8"/>
      <c r="J97" s="3" t="str">
        <f t="shared" si="11"/>
        <v xml:space="preserve"> </v>
      </c>
      <c r="K97" s="3" t="str">
        <f t="shared" si="12"/>
        <v xml:space="preserve"> </v>
      </c>
      <c r="L97" s="3" t="str">
        <f t="shared" si="13"/>
        <v xml:space="preserve"> </v>
      </c>
      <c r="M97" s="3" t="str">
        <f t="shared" si="14"/>
        <v xml:space="preserve"> </v>
      </c>
    </row>
    <row r="98" spans="1:13">
      <c r="A98" s="8"/>
      <c r="B98" s="8"/>
      <c r="C98" s="8"/>
      <c r="D98" s="5" t="str">
        <f t="shared" si="10"/>
        <v xml:space="preserve"> </v>
      </c>
      <c r="E98" s="5" t="str">
        <f ca="1">IF(ISTEXT(C98),IF(D98=INDIRECT("Equations!$B$" &amp; 'Code per Equation'!$G$4+1),"",SEARCH(D98,INDIRECT("Equations!$C$" &amp; 'Code per Equation'!$G$4+1))),"")</f>
        <v/>
      </c>
      <c r="F98" s="8"/>
      <c r="G98" s="8"/>
      <c r="H98" s="8"/>
      <c r="I98" s="8"/>
      <c r="J98" s="3" t="str">
        <f t="shared" si="11"/>
        <v xml:space="preserve"> </v>
      </c>
      <c r="K98" s="3" t="str">
        <f t="shared" si="12"/>
        <v xml:space="preserve"> </v>
      </c>
      <c r="L98" s="3" t="str">
        <f t="shared" si="13"/>
        <v xml:space="preserve"> </v>
      </c>
      <c r="M98" s="3" t="str">
        <f t="shared" si="14"/>
        <v xml:space="preserve"> </v>
      </c>
    </row>
    <row r="99" spans="1:13">
      <c r="A99" s="8"/>
      <c r="B99" s="8"/>
      <c r="C99" s="8"/>
      <c r="D99" s="5" t="str">
        <f t="shared" si="10"/>
        <v xml:space="preserve"> </v>
      </c>
      <c r="E99" s="5" t="str">
        <f ca="1">IF(ISTEXT(C99),IF(D99=INDIRECT("Equations!$B$" &amp; 'Code per Equation'!$G$4+1),"",SEARCH(D99,INDIRECT("Equations!$C$" &amp; 'Code per Equation'!$G$4+1))),"")</f>
        <v/>
      </c>
      <c r="F99" s="8"/>
      <c r="G99" s="8"/>
      <c r="H99" s="8"/>
      <c r="I99" s="8"/>
      <c r="J99" s="3" t="str">
        <f t="shared" si="11"/>
        <v xml:space="preserve"> </v>
      </c>
      <c r="K99" s="3" t="str">
        <f t="shared" si="12"/>
        <v xml:space="preserve"> </v>
      </c>
      <c r="L99" s="3" t="str">
        <f t="shared" si="13"/>
        <v xml:space="preserve"> </v>
      </c>
      <c r="M99" s="3" t="str">
        <f t="shared" si="14"/>
        <v xml:space="preserve"> </v>
      </c>
    </row>
    <row r="100" spans="1:13">
      <c r="A100" s="8"/>
      <c r="B100" s="8"/>
      <c r="C100" s="8"/>
      <c r="D100" s="5" t="str">
        <f t="shared" si="10"/>
        <v xml:space="preserve"> </v>
      </c>
      <c r="E100" s="5" t="str">
        <f ca="1">IF(ISTEXT(C100),IF(D100=INDIRECT("Equations!$B$" &amp; 'Code per Equation'!$G$4+1),"",SEARCH(D100,INDIRECT("Equations!$C$" &amp; 'Code per Equation'!$G$4+1))),"")</f>
        <v/>
      </c>
      <c r="F100" s="8"/>
      <c r="G100" s="8"/>
      <c r="H100" s="8"/>
      <c r="I100" s="8"/>
      <c r="J100" s="3" t="str">
        <f t="shared" si="11"/>
        <v xml:space="preserve"> </v>
      </c>
      <c r="K100" s="3" t="str">
        <f t="shared" si="12"/>
        <v xml:space="preserve"> </v>
      </c>
      <c r="L100" s="3" t="str">
        <f t="shared" si="13"/>
        <v xml:space="preserve"> </v>
      </c>
      <c r="M100" s="3" t="str">
        <f t="shared" si="14"/>
        <v xml:space="preserve"> </v>
      </c>
    </row>
    <row r="101" spans="1:13">
      <c r="A101" s="8"/>
      <c r="B101" s="8"/>
      <c r="C101" s="8"/>
      <c r="D101" s="5" t="str">
        <f t="shared" si="10"/>
        <v xml:space="preserve"> </v>
      </c>
      <c r="E101" s="5" t="str">
        <f ca="1">IF(ISTEXT(C101),IF(D101=INDIRECT("Equations!$B$" &amp; 'Code per Equation'!$G$4+1),"",SEARCH(D101,INDIRECT("Equations!$C$" &amp; 'Code per Equation'!$G$4+1))),"")</f>
        <v/>
      </c>
      <c r="F101" s="8"/>
      <c r="G101" s="8"/>
      <c r="H101" s="8"/>
      <c r="I101" s="8"/>
      <c r="J101" s="3" t="str">
        <f t="shared" si="11"/>
        <v xml:space="preserve"> </v>
      </c>
      <c r="K101" s="3" t="str">
        <f t="shared" si="12"/>
        <v xml:space="preserve"> </v>
      </c>
      <c r="L101" s="3" t="str">
        <f t="shared" si="13"/>
        <v xml:space="preserve"> </v>
      </c>
      <c r="M101" s="3" t="str">
        <f t="shared" si="14"/>
        <v xml:space="preserve"> </v>
      </c>
    </row>
    <row r="102" spans="1:13">
      <c r="A102" s="8"/>
      <c r="B102" s="8"/>
      <c r="C102" s="8"/>
      <c r="D102" s="5" t="str">
        <f t="shared" si="10"/>
        <v xml:space="preserve"> </v>
      </c>
      <c r="E102" s="5" t="str">
        <f ca="1">IF(ISTEXT(C102),IF(D102=INDIRECT("Equations!$B$" &amp; 'Code per Equation'!$G$4+1),"",SEARCH(D102,INDIRECT("Equations!$C$" &amp; 'Code per Equation'!$G$4+1))),"")</f>
        <v/>
      </c>
      <c r="F102" s="8"/>
      <c r="G102" s="8"/>
      <c r="H102" s="8"/>
      <c r="I102" s="8"/>
      <c r="J102" s="3" t="str">
        <f t="shared" si="11"/>
        <v xml:space="preserve"> </v>
      </c>
      <c r="K102" s="3" t="str">
        <f t="shared" si="12"/>
        <v xml:space="preserve"> </v>
      </c>
      <c r="L102" s="3" t="str">
        <f t="shared" si="13"/>
        <v xml:space="preserve"> </v>
      </c>
      <c r="M102" s="3" t="str">
        <f t="shared" si="14"/>
        <v xml:space="preserve"> </v>
      </c>
    </row>
    <row r="103" spans="1:13">
      <c r="A103" s="8"/>
      <c r="B103" s="8"/>
      <c r="C103" s="8"/>
      <c r="D103" s="5" t="str">
        <f t="shared" si="10"/>
        <v xml:space="preserve"> </v>
      </c>
      <c r="E103" s="5" t="str">
        <f ca="1">IF(ISTEXT(C103),IF(D103=INDIRECT("Equations!$B$" &amp; 'Code per Equation'!$G$4+1),"",SEARCH(D103,INDIRECT("Equations!$C$" &amp; 'Code per Equation'!$G$4+1))),"")</f>
        <v/>
      </c>
      <c r="F103" s="8"/>
      <c r="G103" s="8"/>
      <c r="H103" s="8"/>
      <c r="I103" s="8"/>
      <c r="J103" s="3" t="str">
        <f t="shared" si="11"/>
        <v xml:space="preserve"> </v>
      </c>
      <c r="K103" s="3" t="str">
        <f t="shared" si="12"/>
        <v xml:space="preserve"> </v>
      </c>
      <c r="L103" s="3" t="str">
        <f t="shared" si="13"/>
        <v xml:space="preserve"> </v>
      </c>
      <c r="M103" s="3" t="str">
        <f t="shared" si="14"/>
        <v xml:space="preserve"> </v>
      </c>
    </row>
    <row r="104" spans="1:13">
      <c r="A104" s="8"/>
      <c r="B104" s="8"/>
      <c r="C104" s="8"/>
      <c r="D104" s="5" t="str">
        <f t="shared" si="10"/>
        <v xml:space="preserve"> </v>
      </c>
      <c r="E104" s="5" t="str">
        <f ca="1">IF(ISTEXT(C104),IF(D104=INDIRECT("Equations!$B$" &amp; 'Code per Equation'!$G$4+1),"",SEARCH(D104,INDIRECT("Equations!$C$" &amp; 'Code per Equation'!$G$4+1))),"")</f>
        <v/>
      </c>
      <c r="F104" s="8"/>
      <c r="G104" s="8"/>
      <c r="H104" s="8"/>
      <c r="I104" s="8"/>
      <c r="J104" s="3" t="str">
        <f t="shared" si="11"/>
        <v xml:space="preserve"> </v>
      </c>
      <c r="K104" s="3" t="str">
        <f t="shared" si="12"/>
        <v xml:space="preserve"> </v>
      </c>
      <c r="L104" s="3" t="str">
        <f t="shared" si="13"/>
        <v xml:space="preserve"> </v>
      </c>
      <c r="M104" s="3" t="str">
        <f t="shared" si="14"/>
        <v xml:space="preserve"> </v>
      </c>
    </row>
    <row r="105" spans="1:13">
      <c r="A105" s="8"/>
      <c r="B105" s="8"/>
      <c r="C105" s="8"/>
      <c r="D105" s="5" t="str">
        <f t="shared" si="10"/>
        <v xml:space="preserve"> </v>
      </c>
      <c r="E105" s="5" t="str">
        <f ca="1">IF(ISTEXT(C105),IF(D105=INDIRECT("Equations!$B$" &amp; 'Code per Equation'!$G$4+1),"",SEARCH(D105,INDIRECT("Equations!$C$" &amp; 'Code per Equation'!$G$4+1))),"")</f>
        <v/>
      </c>
      <c r="F105" s="8"/>
      <c r="G105" s="8"/>
      <c r="H105" s="8"/>
      <c r="I105" s="8"/>
      <c r="J105" s="3" t="str">
        <f t="shared" si="11"/>
        <v xml:space="preserve"> </v>
      </c>
      <c r="K105" s="3" t="str">
        <f t="shared" si="12"/>
        <v xml:space="preserve"> </v>
      </c>
      <c r="L105" s="3" t="str">
        <f t="shared" si="13"/>
        <v xml:space="preserve"> </v>
      </c>
      <c r="M105" s="3" t="str">
        <f t="shared" si="14"/>
        <v xml:space="preserve"> </v>
      </c>
    </row>
    <row r="106" spans="1:13">
      <c r="A106" s="8"/>
      <c r="B106" s="8"/>
      <c r="C106" s="8"/>
      <c r="D106" s="5" t="str">
        <f t="shared" si="10"/>
        <v xml:space="preserve"> </v>
      </c>
      <c r="E106" s="5" t="str">
        <f ca="1">IF(ISTEXT(C106),IF(D106=INDIRECT("Equations!$B$" &amp; 'Code per Equation'!$G$4+1),"",SEARCH(D106,INDIRECT("Equations!$C$" &amp; 'Code per Equation'!$G$4+1))),"")</f>
        <v/>
      </c>
      <c r="F106" s="8"/>
      <c r="G106" s="8"/>
      <c r="H106" s="8"/>
      <c r="I106" s="8"/>
      <c r="J106" s="3" t="str">
        <f t="shared" si="11"/>
        <v xml:space="preserve"> </v>
      </c>
      <c r="K106" s="3" t="str">
        <f t="shared" si="12"/>
        <v xml:space="preserve"> </v>
      </c>
      <c r="L106" s="3" t="str">
        <f t="shared" si="13"/>
        <v xml:space="preserve"> </v>
      </c>
      <c r="M106" s="3" t="str">
        <f t="shared" si="14"/>
        <v xml:space="preserve"> </v>
      </c>
    </row>
    <row r="107" spans="1:13">
      <c r="A107" s="8"/>
      <c r="B107" s="8"/>
      <c r="C107" s="8"/>
      <c r="D107" s="5" t="str">
        <f t="shared" si="10"/>
        <v xml:space="preserve"> </v>
      </c>
      <c r="E107" s="5" t="str">
        <f ca="1">IF(ISTEXT(C107),IF(D107=INDIRECT("Equations!$B$" &amp; 'Code per Equation'!$G$4+1),"",SEARCH(D107,INDIRECT("Equations!$C$" &amp; 'Code per Equation'!$G$4+1))),"")</f>
        <v/>
      </c>
      <c r="F107" s="8"/>
      <c r="G107" s="8"/>
      <c r="H107" s="8"/>
      <c r="I107" s="8"/>
      <c r="J107" s="3" t="str">
        <f t="shared" si="11"/>
        <v xml:space="preserve"> </v>
      </c>
      <c r="K107" s="3" t="str">
        <f t="shared" si="12"/>
        <v xml:space="preserve"> </v>
      </c>
      <c r="L107" s="3" t="str">
        <f t="shared" si="13"/>
        <v xml:space="preserve"> </v>
      </c>
      <c r="M107" s="3" t="str">
        <f t="shared" si="14"/>
        <v xml:space="preserve"> </v>
      </c>
    </row>
    <row r="108" spans="1:13">
      <c r="A108" s="8"/>
      <c r="B108" s="8"/>
      <c r="C108" s="8"/>
      <c r="D108" s="5" t="str">
        <f t="shared" si="10"/>
        <v xml:space="preserve"> </v>
      </c>
      <c r="E108" s="5" t="str">
        <f ca="1">IF(ISTEXT(C108),IF(D108=INDIRECT("Equations!$B$" &amp; 'Code per Equation'!$G$4+1),"",SEARCH(D108,INDIRECT("Equations!$C$" &amp; 'Code per Equation'!$G$4+1))),"")</f>
        <v/>
      </c>
      <c r="F108" s="8"/>
      <c r="G108" s="8"/>
      <c r="H108" s="8"/>
      <c r="I108" s="8"/>
      <c r="J108" s="3" t="str">
        <f t="shared" si="11"/>
        <v xml:space="preserve"> </v>
      </c>
      <c r="K108" s="3" t="str">
        <f t="shared" si="12"/>
        <v xml:space="preserve"> </v>
      </c>
      <c r="L108" s="3" t="str">
        <f t="shared" si="13"/>
        <v xml:space="preserve"> </v>
      </c>
      <c r="M108" s="3" t="str">
        <f t="shared" si="14"/>
        <v xml:space="preserve"> </v>
      </c>
    </row>
    <row r="109" spans="1:13">
      <c r="A109" s="8"/>
      <c r="B109" s="8"/>
      <c r="C109" s="8"/>
      <c r="D109" s="5" t="str">
        <f t="shared" si="10"/>
        <v xml:space="preserve"> </v>
      </c>
      <c r="E109" s="5" t="str">
        <f ca="1">IF(ISTEXT(C109),IF(D109=INDIRECT("Equations!$B$" &amp; 'Code per Equation'!$G$4+1),"",SEARCH(D109,INDIRECT("Equations!$C$" &amp; 'Code per Equation'!$G$4+1))),"")</f>
        <v/>
      </c>
      <c r="F109" s="8"/>
      <c r="G109" s="8"/>
      <c r="H109" s="8"/>
      <c r="I109" s="8"/>
      <c r="J109" s="3" t="str">
        <f t="shared" si="11"/>
        <v xml:space="preserve"> </v>
      </c>
      <c r="K109" s="3" t="str">
        <f t="shared" si="12"/>
        <v xml:space="preserve"> </v>
      </c>
      <c r="L109" s="3" t="str">
        <f t="shared" si="13"/>
        <v xml:space="preserve"> </v>
      </c>
      <c r="M109" s="3" t="str">
        <f t="shared" si="14"/>
        <v xml:space="preserve"> </v>
      </c>
    </row>
    <row r="110" spans="1:13">
      <c r="A110" s="8"/>
      <c r="B110" s="8"/>
      <c r="C110" s="8"/>
      <c r="D110" s="5" t="str">
        <f t="shared" si="10"/>
        <v xml:space="preserve"> </v>
      </c>
      <c r="E110" s="5" t="str">
        <f ca="1">IF(ISTEXT(C110),IF(D110=INDIRECT("Equations!$B$" &amp; 'Code per Equation'!$G$4+1),"",SEARCH(D110,INDIRECT("Equations!$C$" &amp; 'Code per Equation'!$G$4+1))),"")</f>
        <v/>
      </c>
      <c r="F110" s="8"/>
      <c r="G110" s="8"/>
      <c r="H110" s="8"/>
      <c r="I110" s="8"/>
      <c r="J110" s="3" t="str">
        <f t="shared" si="11"/>
        <v xml:space="preserve"> </v>
      </c>
      <c r="K110" s="3" t="str">
        <f t="shared" si="12"/>
        <v xml:space="preserve"> </v>
      </c>
      <c r="L110" s="3" t="str">
        <f t="shared" si="13"/>
        <v xml:space="preserve"> </v>
      </c>
      <c r="M110" s="3" t="str">
        <f t="shared" si="14"/>
        <v xml:space="preserve"> </v>
      </c>
    </row>
    <row r="111" spans="1:13">
      <c r="A111" s="8"/>
      <c r="B111" s="8"/>
      <c r="C111" s="8"/>
      <c r="D111" s="5" t="str">
        <f t="shared" si="10"/>
        <v xml:space="preserve"> </v>
      </c>
      <c r="E111" s="5" t="str">
        <f ca="1">IF(ISTEXT(C111),IF(D111=INDIRECT("Equations!$B$" &amp; 'Code per Equation'!$G$4+1),"",SEARCH(D111,INDIRECT("Equations!$C$" &amp; 'Code per Equation'!$G$4+1))),"")</f>
        <v/>
      </c>
      <c r="F111" s="8"/>
      <c r="G111" s="8"/>
      <c r="H111" s="8"/>
      <c r="I111" s="8"/>
      <c r="J111" s="3" t="str">
        <f t="shared" si="11"/>
        <v xml:space="preserve"> </v>
      </c>
      <c r="K111" s="3" t="str">
        <f t="shared" si="12"/>
        <v xml:space="preserve"> </v>
      </c>
      <c r="L111" s="3" t="str">
        <f t="shared" si="13"/>
        <v xml:space="preserve"> </v>
      </c>
      <c r="M111" s="3" t="str">
        <f t="shared" si="14"/>
        <v xml:space="preserve"> </v>
      </c>
    </row>
    <row r="112" spans="1:13">
      <c r="A112" s="8"/>
      <c r="B112" s="8"/>
      <c r="C112" s="8"/>
      <c r="D112" s="5" t="str">
        <f t="shared" si="10"/>
        <v xml:space="preserve"> </v>
      </c>
      <c r="E112" s="5" t="str">
        <f ca="1">IF(ISTEXT(C112),IF(D112=INDIRECT("Equations!$B$" &amp; 'Code per Equation'!$G$4+1),"",SEARCH(D112,INDIRECT("Equations!$C$" &amp; 'Code per Equation'!$G$4+1))),"")</f>
        <v/>
      </c>
      <c r="F112" s="8"/>
      <c r="G112" s="8"/>
      <c r="H112" s="8"/>
      <c r="I112" s="8"/>
      <c r="J112" s="3" t="str">
        <f t="shared" si="11"/>
        <v xml:space="preserve"> </v>
      </c>
      <c r="K112" s="3" t="str">
        <f t="shared" si="12"/>
        <v xml:space="preserve"> </v>
      </c>
      <c r="L112" s="3" t="str">
        <f t="shared" si="13"/>
        <v xml:space="preserve"> </v>
      </c>
      <c r="M112" s="3" t="str">
        <f t="shared" si="14"/>
        <v xml:space="preserve"> </v>
      </c>
    </row>
    <row r="113" spans="1:13">
      <c r="A113" s="8"/>
      <c r="B113" s="8"/>
      <c r="C113" s="8"/>
      <c r="D113" s="5" t="str">
        <f t="shared" si="10"/>
        <v xml:space="preserve"> </v>
      </c>
      <c r="E113" s="5" t="str">
        <f ca="1">IF(ISTEXT(C113),IF(D113=INDIRECT("Equations!$B$" &amp; 'Code per Equation'!$G$4+1),"",SEARCH(D113,INDIRECT("Equations!$C$" &amp; 'Code per Equation'!$G$4+1))),"")</f>
        <v/>
      </c>
      <c r="F113" s="8"/>
      <c r="G113" s="8"/>
      <c r="H113" s="8"/>
      <c r="I113" s="8"/>
      <c r="J113" s="3" t="str">
        <f t="shared" si="11"/>
        <v xml:space="preserve"> </v>
      </c>
      <c r="K113" s="3" t="str">
        <f t="shared" si="12"/>
        <v xml:space="preserve"> </v>
      </c>
      <c r="L113" s="3" t="str">
        <f t="shared" si="13"/>
        <v xml:space="preserve"> </v>
      </c>
      <c r="M113" s="3" t="str">
        <f t="shared" si="14"/>
        <v xml:space="preserve"> </v>
      </c>
    </row>
    <row r="114" spans="1:13">
      <c r="A114" s="8"/>
      <c r="B114" s="8"/>
      <c r="C114" s="8"/>
      <c r="D114" s="5" t="str">
        <f t="shared" si="10"/>
        <v xml:space="preserve"> </v>
      </c>
      <c r="E114" s="5" t="str">
        <f ca="1">IF(ISTEXT(C114),IF(D114=INDIRECT("Equations!$B$" &amp; 'Code per Equation'!$G$4+1),"",SEARCH(D114,INDIRECT("Equations!$C$" &amp; 'Code per Equation'!$G$4+1))),"")</f>
        <v/>
      </c>
      <c r="F114" s="8"/>
      <c r="G114" s="8"/>
      <c r="H114" s="8"/>
      <c r="I114" s="8"/>
      <c r="J114" s="3" t="str">
        <f t="shared" si="11"/>
        <v xml:space="preserve"> </v>
      </c>
      <c r="K114" s="3" t="str">
        <f t="shared" si="12"/>
        <v xml:space="preserve"> </v>
      </c>
      <c r="L114" s="3" t="str">
        <f t="shared" si="13"/>
        <v xml:space="preserve"> </v>
      </c>
      <c r="M114" s="3" t="str">
        <f t="shared" si="14"/>
        <v xml:space="preserve"> </v>
      </c>
    </row>
    <row r="115" spans="1:13">
      <c r="A115" s="8"/>
      <c r="B115" s="8"/>
      <c r="C115" s="8"/>
      <c r="D115" s="5" t="str">
        <f t="shared" si="10"/>
        <v xml:space="preserve"> </v>
      </c>
      <c r="E115" s="5" t="str">
        <f ca="1">IF(ISTEXT(C115),IF(D115=INDIRECT("Equations!$B$" &amp; 'Code per Equation'!$G$4+1),"",SEARCH(D115,INDIRECT("Equations!$C$" &amp; 'Code per Equation'!$G$4+1))),"")</f>
        <v/>
      </c>
      <c r="F115" s="8"/>
      <c r="G115" s="8"/>
      <c r="H115" s="8"/>
      <c r="I115" s="8"/>
      <c r="J115" s="3" t="str">
        <f t="shared" si="11"/>
        <v xml:space="preserve"> </v>
      </c>
      <c r="K115" s="3" t="str">
        <f t="shared" si="12"/>
        <v xml:space="preserve"> </v>
      </c>
      <c r="L115" s="3" t="str">
        <f t="shared" si="13"/>
        <v xml:space="preserve"> </v>
      </c>
      <c r="M115" s="3" t="str">
        <f t="shared" si="14"/>
        <v xml:space="preserve"> </v>
      </c>
    </row>
    <row r="116" spans="1:13">
      <c r="A116" s="8"/>
      <c r="B116" s="8"/>
      <c r="C116" s="8"/>
      <c r="D116" s="5" t="str">
        <f t="shared" si="10"/>
        <v xml:space="preserve"> </v>
      </c>
      <c r="E116" s="5" t="str">
        <f ca="1">IF(ISTEXT(C116),IF(D116=INDIRECT("Equations!$B$" &amp; 'Code per Equation'!$G$4+1),"",SEARCH(D116,INDIRECT("Equations!$C$" &amp; 'Code per Equation'!$G$4+1))),"")</f>
        <v/>
      </c>
      <c r="F116" s="8"/>
      <c r="G116" s="8"/>
      <c r="H116" s="8"/>
      <c r="I116" s="8"/>
      <c r="J116" s="3" t="str">
        <f t="shared" si="11"/>
        <v xml:space="preserve"> </v>
      </c>
      <c r="K116" s="3" t="str">
        <f t="shared" si="12"/>
        <v xml:space="preserve"> </v>
      </c>
      <c r="L116" s="3" t="str">
        <f t="shared" si="13"/>
        <v xml:space="preserve"> </v>
      </c>
      <c r="M116" s="3" t="str">
        <f t="shared" si="14"/>
        <v xml:space="preserve"> </v>
      </c>
    </row>
    <row r="117" spans="1:13">
      <c r="A117" s="8"/>
      <c r="B117" s="8"/>
      <c r="C117" s="8"/>
      <c r="D117" s="5" t="str">
        <f t="shared" si="10"/>
        <v xml:space="preserve"> </v>
      </c>
      <c r="E117" s="5" t="str">
        <f ca="1">IF(ISTEXT(C117),IF(D117=INDIRECT("Equations!$B$" &amp; 'Code per Equation'!$G$4+1),"",SEARCH(D117,INDIRECT("Equations!$C$" &amp; 'Code per Equation'!$G$4+1))),"")</f>
        <v/>
      </c>
      <c r="F117" s="8"/>
      <c r="G117" s="8"/>
      <c r="H117" s="8"/>
      <c r="I117" s="8"/>
      <c r="J117" s="3" t="str">
        <f t="shared" si="11"/>
        <v xml:space="preserve"> </v>
      </c>
      <c r="K117" s="3" t="str">
        <f t="shared" si="12"/>
        <v xml:space="preserve"> </v>
      </c>
      <c r="L117" s="3" t="str">
        <f t="shared" si="13"/>
        <v xml:space="preserve"> </v>
      </c>
      <c r="M117" s="3" t="str">
        <f t="shared" si="14"/>
        <v xml:space="preserve"> </v>
      </c>
    </row>
    <row r="118" spans="1:13">
      <c r="A118" s="8"/>
      <c r="B118" s="8"/>
      <c r="C118" s="8"/>
      <c r="D118" s="5" t="str">
        <f t="shared" si="10"/>
        <v xml:space="preserve"> </v>
      </c>
      <c r="E118" s="5" t="str">
        <f ca="1">IF(ISTEXT(C118),IF(D118=INDIRECT("Equations!$B$" &amp; 'Code per Equation'!$G$4+1),"",SEARCH(D118,INDIRECT("Equations!$C$" &amp; 'Code per Equation'!$G$4+1))),"")</f>
        <v/>
      </c>
      <c r="F118" s="8"/>
      <c r="G118" s="8"/>
      <c r="H118" s="8"/>
      <c r="I118" s="8"/>
      <c r="J118" s="3" t="str">
        <f t="shared" si="11"/>
        <v xml:space="preserve"> </v>
      </c>
      <c r="K118" s="3" t="str">
        <f t="shared" si="12"/>
        <v xml:space="preserve"> </v>
      </c>
      <c r="L118" s="3" t="str">
        <f t="shared" si="13"/>
        <v xml:space="preserve"> </v>
      </c>
      <c r="M118" s="3" t="str">
        <f t="shared" si="14"/>
        <v xml:space="preserve"> </v>
      </c>
    </row>
    <row r="119" spans="1:13">
      <c r="A119" s="8"/>
      <c r="B119" s="8"/>
      <c r="C119" s="8"/>
      <c r="D119" s="5" t="str">
        <f t="shared" si="10"/>
        <v xml:space="preserve"> </v>
      </c>
      <c r="E119" s="5" t="str">
        <f ca="1">IF(ISTEXT(C119),IF(D119=INDIRECT("Equations!$B$" &amp; 'Code per Equation'!$G$4+1),"",SEARCH(D119,INDIRECT("Equations!$C$" &amp; 'Code per Equation'!$G$4+1))),"")</f>
        <v/>
      </c>
      <c r="F119" s="8"/>
      <c r="G119" s="8"/>
      <c r="H119" s="8"/>
      <c r="I119" s="8"/>
      <c r="J119" s="3" t="str">
        <f t="shared" si="11"/>
        <v xml:space="preserve"> </v>
      </c>
      <c r="K119" s="3" t="str">
        <f t="shared" si="12"/>
        <v xml:space="preserve"> </v>
      </c>
      <c r="L119" s="3" t="str">
        <f t="shared" si="13"/>
        <v xml:space="preserve"> </v>
      </c>
      <c r="M119" s="3" t="str">
        <f t="shared" si="14"/>
        <v xml:space="preserve"> </v>
      </c>
    </row>
    <row r="120" spans="1:13">
      <c r="A120" s="8"/>
      <c r="B120" s="8"/>
      <c r="C120" s="8"/>
      <c r="D120" s="5" t="str">
        <f t="shared" si="10"/>
        <v xml:space="preserve"> </v>
      </c>
      <c r="E120" s="5" t="str">
        <f ca="1">IF(ISTEXT(C120),IF(D120=INDIRECT("Equations!$B$" &amp; 'Code per Equation'!$G$4+1),"",SEARCH(D120,INDIRECT("Equations!$C$" &amp; 'Code per Equation'!$G$4+1))),"")</f>
        <v/>
      </c>
      <c r="F120" s="8"/>
      <c r="G120" s="8"/>
      <c r="H120" s="8"/>
      <c r="I120" s="8"/>
      <c r="J120" s="3" t="str">
        <f t="shared" si="11"/>
        <v xml:space="preserve"> </v>
      </c>
      <c r="K120" s="3" t="str">
        <f t="shared" si="12"/>
        <v xml:space="preserve"> </v>
      </c>
      <c r="L120" s="3" t="str">
        <f t="shared" si="13"/>
        <v xml:space="preserve"> </v>
      </c>
      <c r="M120" s="3" t="str">
        <f t="shared" si="14"/>
        <v xml:space="preserve"> </v>
      </c>
    </row>
    <row r="121" spans="1:13">
      <c r="A121" s="8"/>
      <c r="B121" s="8"/>
      <c r="C121" s="8"/>
      <c r="D121" s="5" t="str">
        <f t="shared" si="10"/>
        <v xml:space="preserve"> </v>
      </c>
      <c r="E121" s="5" t="str">
        <f ca="1">IF(ISTEXT(C121),IF(D121=INDIRECT("Equations!$B$" &amp; 'Code per Equation'!$G$4+1),"",SEARCH(D121,INDIRECT("Equations!$C$" &amp; 'Code per Equation'!$G$4+1))),"")</f>
        <v/>
      </c>
      <c r="F121" s="8"/>
      <c r="G121" s="8"/>
      <c r="H121" s="8"/>
      <c r="I121" s="8"/>
      <c r="J121" s="3" t="str">
        <f t="shared" si="11"/>
        <v xml:space="preserve"> </v>
      </c>
      <c r="K121" s="3" t="str">
        <f t="shared" si="12"/>
        <v xml:space="preserve"> </v>
      </c>
      <c r="L121" s="3" t="str">
        <f t="shared" si="13"/>
        <v xml:space="preserve"> </v>
      </c>
      <c r="M121" s="3" t="str">
        <f t="shared" si="14"/>
        <v xml:space="preserve"> </v>
      </c>
    </row>
    <row r="122" spans="1:13">
      <c r="A122" s="8"/>
      <c r="B122" s="8"/>
      <c r="C122" s="8"/>
      <c r="D122" s="5" t="str">
        <f t="shared" si="10"/>
        <v xml:space="preserve"> </v>
      </c>
      <c r="E122" s="5" t="str">
        <f ca="1">IF(ISTEXT(C122),IF(D122=INDIRECT("Equations!$B$" &amp; 'Code per Equation'!$G$4+1),"",SEARCH(D122,INDIRECT("Equations!$C$" &amp; 'Code per Equation'!$G$4+1))),"")</f>
        <v/>
      </c>
      <c r="F122" s="8"/>
      <c r="G122" s="8"/>
      <c r="H122" s="8"/>
      <c r="I122" s="8"/>
      <c r="J122" s="3" t="str">
        <f t="shared" si="11"/>
        <v xml:space="preserve"> </v>
      </c>
      <c r="K122" s="3" t="str">
        <f t="shared" si="12"/>
        <v xml:space="preserve"> </v>
      </c>
      <c r="L122" s="3" t="str">
        <f t="shared" si="13"/>
        <v xml:space="preserve"> </v>
      </c>
      <c r="M122" s="3" t="str">
        <f t="shared" si="14"/>
        <v xml:space="preserve"> </v>
      </c>
    </row>
    <row r="123" spans="1:13">
      <c r="A123" s="8"/>
      <c r="B123" s="8"/>
      <c r="C123" s="8"/>
      <c r="D123" s="5" t="str">
        <f t="shared" si="10"/>
        <v xml:space="preserve"> </v>
      </c>
      <c r="E123" s="5" t="str">
        <f ca="1">IF(ISTEXT(C123),IF(D123=INDIRECT("Equations!$B$" &amp; 'Code per Equation'!$G$4+1),"",SEARCH(D123,INDIRECT("Equations!$C$" &amp; 'Code per Equation'!$G$4+1))),"")</f>
        <v/>
      </c>
      <c r="F123" s="8"/>
      <c r="G123" s="8"/>
      <c r="H123" s="8"/>
      <c r="I123" s="8"/>
      <c r="J123" s="3" t="str">
        <f t="shared" si="11"/>
        <v xml:space="preserve"> </v>
      </c>
      <c r="K123" s="3" t="str">
        <f t="shared" si="12"/>
        <v xml:space="preserve"> </v>
      </c>
      <c r="L123" s="3" t="str">
        <f t="shared" si="13"/>
        <v xml:space="preserve"> </v>
      </c>
      <c r="M123" s="3" t="str">
        <f t="shared" si="14"/>
        <v xml:space="preserve"> </v>
      </c>
    </row>
    <row r="124" spans="1:13">
      <c r="A124" s="8"/>
      <c r="B124" s="8"/>
      <c r="C124" s="8"/>
      <c r="D124" s="5" t="str">
        <f t="shared" si="10"/>
        <v xml:space="preserve"> </v>
      </c>
      <c r="E124" s="5" t="str">
        <f ca="1">IF(ISTEXT(C124),IF(D124=INDIRECT("Equations!$B$" &amp; 'Code per Equation'!$G$4+1),"",SEARCH(D124,INDIRECT("Equations!$C$" &amp; 'Code per Equation'!$G$4+1))),"")</f>
        <v/>
      </c>
      <c r="F124" s="8"/>
      <c r="G124" s="8"/>
      <c r="H124" s="8"/>
      <c r="I124" s="8"/>
      <c r="J124" s="3" t="str">
        <f t="shared" si="11"/>
        <v xml:space="preserve"> </v>
      </c>
      <c r="K124" s="3" t="str">
        <f t="shared" si="12"/>
        <v xml:space="preserve"> </v>
      </c>
      <c r="L124" s="3" t="str">
        <f t="shared" si="13"/>
        <v xml:space="preserve"> </v>
      </c>
      <c r="M124" s="3" t="str">
        <f t="shared" si="14"/>
        <v xml:space="preserve"> </v>
      </c>
    </row>
    <row r="125" spans="1:13">
      <c r="A125" s="8"/>
      <c r="B125" s="8"/>
      <c r="C125" s="8"/>
      <c r="D125" s="5" t="str">
        <f t="shared" si="10"/>
        <v xml:space="preserve"> </v>
      </c>
      <c r="E125" s="5" t="str">
        <f ca="1">IF(ISTEXT(C125),IF(D125=INDIRECT("Equations!$B$" &amp; 'Code per Equation'!$G$4+1),"",SEARCH(D125,INDIRECT("Equations!$C$" &amp; 'Code per Equation'!$G$4+1))),"")</f>
        <v/>
      </c>
      <c r="F125" s="8"/>
      <c r="G125" s="8"/>
      <c r="H125" s="8"/>
      <c r="I125" s="8"/>
      <c r="J125" s="3" t="str">
        <f t="shared" si="11"/>
        <v xml:space="preserve"> </v>
      </c>
      <c r="K125" s="3" t="str">
        <f t="shared" si="12"/>
        <v xml:space="preserve"> </v>
      </c>
      <c r="L125" s="3" t="str">
        <f t="shared" si="13"/>
        <v xml:space="preserve"> </v>
      </c>
      <c r="M125" s="3" t="str">
        <f t="shared" si="14"/>
        <v xml:space="preserve"> </v>
      </c>
    </row>
    <row r="126" spans="1:13">
      <c r="A126" s="8"/>
      <c r="B126" s="8"/>
      <c r="C126" s="8"/>
      <c r="D126" s="5" t="str">
        <f t="shared" si="10"/>
        <v xml:space="preserve"> </v>
      </c>
      <c r="E126" s="5" t="str">
        <f ca="1">IF(ISTEXT(C126),IF(D126=INDIRECT("Equations!$B$" &amp; 'Code per Equation'!$G$4+1),"",SEARCH(D126,INDIRECT("Equations!$C$" &amp; 'Code per Equation'!$G$4+1))),"")</f>
        <v/>
      </c>
      <c r="F126" s="8"/>
      <c r="G126" s="8"/>
      <c r="H126" s="8"/>
      <c r="I126" s="8"/>
      <c r="J126" s="3" t="str">
        <f t="shared" si="11"/>
        <v xml:space="preserve"> </v>
      </c>
      <c r="K126" s="3" t="str">
        <f t="shared" si="12"/>
        <v xml:space="preserve"> </v>
      </c>
      <c r="L126" s="3" t="str">
        <f t="shared" si="13"/>
        <v xml:space="preserve"> </v>
      </c>
      <c r="M126" s="3" t="str">
        <f t="shared" si="14"/>
        <v xml:space="preserve"> </v>
      </c>
    </row>
    <row r="127" spans="1:13">
      <c r="A127" s="8"/>
      <c r="B127" s="8"/>
      <c r="C127" s="8"/>
      <c r="D127" s="5" t="str">
        <f t="shared" si="10"/>
        <v xml:space="preserve"> </v>
      </c>
      <c r="E127" s="5" t="str">
        <f ca="1">IF(ISTEXT(C127),IF(D127=INDIRECT("Equations!$B$" &amp; 'Code per Equation'!$G$4+1),"",SEARCH(D127,INDIRECT("Equations!$C$" &amp; 'Code per Equation'!$G$4+1))),"")</f>
        <v/>
      </c>
      <c r="F127" s="8"/>
      <c r="G127" s="8"/>
      <c r="H127" s="8"/>
      <c r="I127" s="8"/>
      <c r="J127" s="3" t="str">
        <f t="shared" si="11"/>
        <v xml:space="preserve"> </v>
      </c>
      <c r="K127" s="3" t="str">
        <f t="shared" si="12"/>
        <v xml:space="preserve"> </v>
      </c>
      <c r="L127" s="3" t="str">
        <f t="shared" si="13"/>
        <v xml:space="preserve"> </v>
      </c>
      <c r="M127" s="3" t="str">
        <f t="shared" si="14"/>
        <v xml:space="preserve"> </v>
      </c>
    </row>
    <row r="128" spans="1:13">
      <c r="A128" s="8"/>
      <c r="B128" s="8"/>
      <c r="C128" s="8"/>
      <c r="D128" s="5" t="str">
        <f t="shared" si="10"/>
        <v xml:space="preserve"> </v>
      </c>
      <c r="E128" s="5" t="str">
        <f ca="1">IF(ISTEXT(C128),IF(D128=INDIRECT("Equations!$B$" &amp; 'Code per Equation'!$G$4+1),"",SEARCH(D128,INDIRECT("Equations!$C$" &amp; 'Code per Equation'!$G$4+1))),"")</f>
        <v/>
      </c>
      <c r="F128" s="8"/>
      <c r="G128" s="8"/>
      <c r="H128" s="8"/>
      <c r="I128" s="8"/>
      <c r="J128" s="3" t="str">
        <f t="shared" si="11"/>
        <v xml:space="preserve"> </v>
      </c>
      <c r="K128" s="3" t="str">
        <f t="shared" si="12"/>
        <v xml:space="preserve"> </v>
      </c>
      <c r="L128" s="3" t="str">
        <f t="shared" si="13"/>
        <v xml:space="preserve"> </v>
      </c>
      <c r="M128" s="3" t="str">
        <f t="shared" si="14"/>
        <v xml:space="preserve"> </v>
      </c>
    </row>
    <row r="129" spans="1:13">
      <c r="A129" s="8"/>
      <c r="B129" s="8"/>
      <c r="C129" s="8"/>
      <c r="D129" s="5" t="str">
        <f t="shared" si="10"/>
        <v xml:space="preserve"> </v>
      </c>
      <c r="E129" s="5" t="str">
        <f ca="1">IF(ISTEXT(C129),IF(D129=INDIRECT("Equations!$B$" &amp; 'Code per Equation'!$G$4+1),"",SEARCH(D129,INDIRECT("Equations!$C$" &amp; 'Code per Equation'!$G$4+1))),"")</f>
        <v/>
      </c>
      <c r="F129" s="8"/>
      <c r="G129" s="8"/>
      <c r="H129" s="8"/>
      <c r="I129" s="8"/>
      <c r="J129" s="3" t="str">
        <f t="shared" si="11"/>
        <v xml:space="preserve"> </v>
      </c>
      <c r="K129" s="3" t="str">
        <f t="shared" si="12"/>
        <v xml:space="preserve"> </v>
      </c>
      <c r="L129" s="3" t="str">
        <f t="shared" si="13"/>
        <v xml:space="preserve"> </v>
      </c>
      <c r="M129" s="3" t="str">
        <f t="shared" si="14"/>
        <v xml:space="preserve"> </v>
      </c>
    </row>
    <row r="130" spans="1:13">
      <c r="A130" s="8"/>
      <c r="B130" s="8"/>
      <c r="C130" s="8"/>
      <c r="D130" s="5" t="str">
        <f t="shared" si="10"/>
        <v xml:space="preserve"> </v>
      </c>
      <c r="E130" s="5" t="str">
        <f ca="1">IF(ISTEXT(C130),IF(D130=INDIRECT("Equations!$B$" &amp; 'Code per Equation'!$G$4+1),"",SEARCH(D130,INDIRECT("Equations!$C$" &amp; 'Code per Equation'!$G$4+1))),"")</f>
        <v/>
      </c>
      <c r="F130" s="8"/>
      <c r="G130" s="8"/>
      <c r="H130" s="8"/>
      <c r="I130" s="8"/>
      <c r="J130" s="3" t="str">
        <f t="shared" si="11"/>
        <v xml:space="preserve"> </v>
      </c>
      <c r="K130" s="3" t="str">
        <f t="shared" si="12"/>
        <v xml:space="preserve"> </v>
      </c>
      <c r="L130" s="3" t="str">
        <f t="shared" si="13"/>
        <v xml:space="preserve"> </v>
      </c>
      <c r="M130" s="3" t="str">
        <f t="shared" si="14"/>
        <v xml:space="preserve"> </v>
      </c>
    </row>
    <row r="131" spans="1:13">
      <c r="A131" s="8"/>
      <c r="B131" s="8"/>
      <c r="C131" s="8"/>
      <c r="D131" s="5" t="str">
        <f t="shared" si="10"/>
        <v xml:space="preserve"> </v>
      </c>
      <c r="E131" s="5" t="str">
        <f ca="1">IF(ISTEXT(C131),IF(D131=INDIRECT("Equations!$B$" &amp; 'Code per Equation'!$G$4+1),"",SEARCH(D131,INDIRECT("Equations!$C$" &amp; 'Code per Equation'!$G$4+1))),"")</f>
        <v/>
      </c>
      <c r="F131" s="8"/>
      <c r="G131" s="8"/>
      <c r="H131" s="8"/>
      <c r="I131" s="8"/>
      <c r="J131" s="3" t="str">
        <f t="shared" si="11"/>
        <v xml:space="preserve"> </v>
      </c>
      <c r="K131" s="3" t="str">
        <f t="shared" si="12"/>
        <v xml:space="preserve"> </v>
      </c>
      <c r="L131" s="3" t="str">
        <f t="shared" si="13"/>
        <v xml:space="preserve"> </v>
      </c>
      <c r="M131" s="3" t="str">
        <f t="shared" si="14"/>
        <v xml:space="preserve"> </v>
      </c>
    </row>
    <row r="132" spans="1:13">
      <c r="A132" s="8"/>
      <c r="B132" s="8"/>
      <c r="C132" s="8"/>
      <c r="D132" s="5" t="str">
        <f t="shared" si="10"/>
        <v xml:space="preserve"> </v>
      </c>
      <c r="E132" s="5" t="str">
        <f ca="1">IF(ISTEXT(C132),IF(D132=INDIRECT("Equations!$B$" &amp; 'Code per Equation'!$G$4+1),"",SEARCH(D132,INDIRECT("Equations!$C$" &amp; 'Code per Equation'!$G$4+1))),"")</f>
        <v/>
      </c>
      <c r="F132" s="8"/>
      <c r="G132" s="8"/>
      <c r="H132" s="8"/>
      <c r="I132" s="8"/>
      <c r="J132" s="3" t="str">
        <f t="shared" si="11"/>
        <v xml:space="preserve"> </v>
      </c>
      <c r="K132" s="3" t="str">
        <f t="shared" si="12"/>
        <v xml:space="preserve"> </v>
      </c>
      <c r="L132" s="3" t="str">
        <f t="shared" si="13"/>
        <v xml:space="preserve"> </v>
      </c>
      <c r="M132" s="3" t="str">
        <f t="shared" si="14"/>
        <v xml:space="preserve"> </v>
      </c>
    </row>
    <row r="133" spans="1:13">
      <c r="A133" s="8"/>
      <c r="B133" s="8"/>
      <c r="C133" s="8"/>
      <c r="D133" s="5" t="str">
        <f t="shared" si="10"/>
        <v xml:space="preserve"> </v>
      </c>
      <c r="E133" s="5" t="str">
        <f ca="1">IF(ISTEXT(C133),IF(D133=INDIRECT("Equations!$B$" &amp; 'Code per Equation'!$G$4+1),"",SEARCH(D133,INDIRECT("Equations!$C$" &amp; 'Code per Equation'!$G$4+1))),"")</f>
        <v/>
      </c>
      <c r="F133" s="8"/>
      <c r="G133" s="8"/>
      <c r="H133" s="8"/>
      <c r="I133" s="8"/>
      <c r="J133" s="3" t="str">
        <f t="shared" si="11"/>
        <v xml:space="preserve"> </v>
      </c>
      <c r="K133" s="3" t="str">
        <f t="shared" si="12"/>
        <v xml:space="preserve"> </v>
      </c>
      <c r="L133" s="3" t="str">
        <f t="shared" si="13"/>
        <v xml:space="preserve"> </v>
      </c>
      <c r="M133" s="3" t="str">
        <f t="shared" si="14"/>
        <v xml:space="preserve"> </v>
      </c>
    </row>
    <row r="134" spans="1:13">
      <c r="A134" s="8"/>
      <c r="B134" s="8"/>
      <c r="C134" s="8"/>
      <c r="D134" s="5" t="str">
        <f t="shared" si="10"/>
        <v xml:space="preserve"> </v>
      </c>
      <c r="E134" s="5" t="str">
        <f ca="1">IF(ISTEXT(C134),IF(D134=INDIRECT("Equations!$B$" &amp; 'Code per Equation'!$G$4+1),"",SEARCH(D134,INDIRECT("Equations!$C$" &amp; 'Code per Equation'!$G$4+1))),"")</f>
        <v/>
      </c>
      <c r="F134" s="8"/>
      <c r="G134" s="8"/>
      <c r="H134" s="8"/>
      <c r="I134" s="8"/>
      <c r="J134" s="3" t="str">
        <f t="shared" si="11"/>
        <v xml:space="preserve"> </v>
      </c>
      <c r="K134" s="3" t="str">
        <f t="shared" si="12"/>
        <v xml:space="preserve"> </v>
      </c>
      <c r="L134" s="3" t="str">
        <f t="shared" si="13"/>
        <v xml:space="preserve"> </v>
      </c>
      <c r="M134" s="3" t="str">
        <f t="shared" si="14"/>
        <v xml:space="preserve"> </v>
      </c>
    </row>
    <row r="135" spans="1:13">
      <c r="A135" s="8"/>
      <c r="B135" s="8"/>
      <c r="C135" s="8"/>
      <c r="D135" s="5" t="str">
        <f t="shared" si="10"/>
        <v xml:space="preserve"> </v>
      </c>
      <c r="E135" s="5" t="str">
        <f ca="1">IF(ISTEXT(C135),IF(D135=INDIRECT("Equations!$B$" &amp; 'Code per Equation'!$G$4+1),"",SEARCH(D135,INDIRECT("Equations!$C$" &amp; 'Code per Equation'!$G$4+1))),"")</f>
        <v/>
      </c>
      <c r="F135" s="8"/>
      <c r="G135" s="8"/>
      <c r="H135" s="8"/>
      <c r="I135" s="8"/>
      <c r="J135" s="3" t="str">
        <f t="shared" si="11"/>
        <v xml:space="preserve"> </v>
      </c>
      <c r="K135" s="3" t="str">
        <f t="shared" si="12"/>
        <v xml:space="preserve"> </v>
      </c>
      <c r="L135" s="3" t="str">
        <f t="shared" si="13"/>
        <v xml:space="preserve"> </v>
      </c>
      <c r="M135" s="3" t="str">
        <f t="shared" si="14"/>
        <v xml:space="preserve"> </v>
      </c>
    </row>
    <row r="136" spans="1:13">
      <c r="A136" s="8"/>
      <c r="B136" s="8"/>
      <c r="C136" s="8"/>
      <c r="D136" s="5" t="str">
        <f t="shared" si="10"/>
        <v xml:space="preserve"> </v>
      </c>
      <c r="E136" s="5" t="str">
        <f ca="1">IF(ISTEXT(C136),IF(D136=INDIRECT("Equations!$B$" &amp; 'Code per Equation'!$G$4+1),"",SEARCH(D136,INDIRECT("Equations!$C$" &amp; 'Code per Equation'!$G$4+1))),"")</f>
        <v/>
      </c>
      <c r="F136" s="8"/>
      <c r="G136" s="8"/>
      <c r="H136" s="8"/>
      <c r="I136" s="8"/>
      <c r="J136" s="3" t="str">
        <f t="shared" si="11"/>
        <v xml:space="preserve"> </v>
      </c>
      <c r="K136" s="3" t="str">
        <f t="shared" si="12"/>
        <v xml:space="preserve"> </v>
      </c>
      <c r="L136" s="3" t="str">
        <f t="shared" si="13"/>
        <v xml:space="preserve"> </v>
      </c>
      <c r="M136" s="3" t="str">
        <f t="shared" si="14"/>
        <v xml:space="preserve"> </v>
      </c>
    </row>
    <row r="137" spans="1:13">
      <c r="A137" s="8"/>
      <c r="B137" s="8"/>
      <c r="C137" s="8"/>
      <c r="D137" s="5" t="str">
        <f t="shared" si="10"/>
        <v xml:space="preserve"> </v>
      </c>
      <c r="E137" s="5" t="str">
        <f ca="1">IF(ISTEXT(C137),IF(D137=INDIRECT("Equations!$B$" &amp; 'Code per Equation'!$G$4+1),"",SEARCH(D137,INDIRECT("Equations!$C$" &amp; 'Code per Equation'!$G$4+1))),"")</f>
        <v/>
      </c>
      <c r="F137" s="8"/>
      <c r="G137" s="8"/>
      <c r="H137" s="8"/>
      <c r="I137" s="8"/>
      <c r="J137" s="3" t="str">
        <f t="shared" si="11"/>
        <v xml:space="preserve"> </v>
      </c>
      <c r="K137" s="3" t="str">
        <f t="shared" si="12"/>
        <v xml:space="preserve"> </v>
      </c>
      <c r="L137" s="3" t="str">
        <f t="shared" si="13"/>
        <v xml:space="preserve"> </v>
      </c>
      <c r="M137" s="3" t="str">
        <f t="shared" si="14"/>
        <v xml:space="preserve"> </v>
      </c>
    </row>
    <row r="138" spans="1:13">
      <c r="A138" s="8"/>
      <c r="B138" s="8"/>
      <c r="C138" s="8"/>
      <c r="D138" s="5" t="str">
        <f t="shared" si="10"/>
        <v xml:space="preserve"> </v>
      </c>
      <c r="E138" s="5" t="str">
        <f ca="1">IF(ISTEXT(C138),IF(D138=INDIRECT("Equations!$B$" &amp; 'Code per Equation'!$G$4+1),"",SEARCH(D138,INDIRECT("Equations!$C$" &amp; 'Code per Equation'!$G$4+1))),"")</f>
        <v/>
      </c>
      <c r="F138" s="8"/>
      <c r="G138" s="8"/>
      <c r="H138" s="8"/>
      <c r="I138" s="8"/>
      <c r="J138" s="3" t="str">
        <f t="shared" si="11"/>
        <v xml:space="preserve"> </v>
      </c>
      <c r="K138" s="3" t="str">
        <f t="shared" si="12"/>
        <v xml:space="preserve"> </v>
      </c>
      <c r="L138" s="3" t="str">
        <f t="shared" si="13"/>
        <v xml:space="preserve"> </v>
      </c>
      <c r="M138" s="3" t="str">
        <f t="shared" si="14"/>
        <v xml:space="preserve"> </v>
      </c>
    </row>
    <row r="139" spans="1:13">
      <c r="A139" s="8"/>
      <c r="B139" s="8"/>
      <c r="C139" s="8"/>
      <c r="D139" s="5" t="str">
        <f t="shared" ref="D139:D201" si="15">IF(ISBLANK(C139)," ",CONCATENATE("{",C139,"}"))</f>
        <v xml:space="preserve"> </v>
      </c>
      <c r="E139" s="5" t="str">
        <f ca="1">IF(ISTEXT(C139),IF(D139=INDIRECT("Equations!$B$" &amp; 'Code per Equation'!$G$4+1),"",SEARCH(D139,INDIRECT("Equations!$C$" &amp; 'Code per Equation'!$G$4+1))),"")</f>
        <v/>
      </c>
      <c r="F139" s="8"/>
      <c r="G139" s="8"/>
      <c r="H139" s="8"/>
      <c r="I139" s="8"/>
      <c r="J139" s="3" t="str">
        <f t="shared" ref="J139:J201" si="16">IF(ISBLANK(C139)," ",CONCATENATE("\newcommand{",F139,"}{",H139,"}"))</f>
        <v xml:space="preserve"> </v>
      </c>
      <c r="K139" s="3" t="str">
        <f t="shared" ref="K139:K201" si="17">IF(ISBLANK(C139)," ",CONCATENATE("\newglossaryentry{",B139,"}{name={$",C139,"$},description={",F139,"},unit={\si{\",I139,"}},type=symbolslist,sort=","1}"))</f>
        <v xml:space="preserve"> </v>
      </c>
      <c r="L139" s="3" t="str">
        <f t="shared" ref="L139:L201" si="18">IF(ISBLANK(C139)," ",CONCATENATE("\newcommand{",G139,"}{\parbox[t]{","\widtheqparameter","}","{",F139,"}\hspace{","\widtheqwhitespace","}[\si{","\",I139,"}]}"))</f>
        <v xml:space="preserve"> </v>
      </c>
      <c r="M139" s="3" t="str">
        <f t="shared" ref="M139:M201" si="19">IF(ISBLANK(C139)," ",CONCATENATE(C139," &amp; ",G139," \\"))</f>
        <v xml:space="preserve"> </v>
      </c>
    </row>
    <row r="140" spans="1:13">
      <c r="A140" s="8"/>
      <c r="B140" s="8"/>
      <c r="C140" s="8"/>
      <c r="D140" s="5" t="str">
        <f t="shared" si="15"/>
        <v xml:space="preserve"> </v>
      </c>
      <c r="E140" s="5" t="str">
        <f ca="1">IF(ISTEXT(C140),IF(D140=INDIRECT("Equations!$B$" &amp; 'Code per Equation'!$G$4+1),"",SEARCH(D140,INDIRECT("Equations!$C$" &amp; 'Code per Equation'!$G$4+1))),"")</f>
        <v/>
      </c>
      <c r="F140" s="8"/>
      <c r="G140" s="8"/>
      <c r="H140" s="8"/>
      <c r="I140" s="8"/>
      <c r="J140" s="3" t="str">
        <f t="shared" si="16"/>
        <v xml:space="preserve"> </v>
      </c>
      <c r="K140" s="3" t="str">
        <f t="shared" si="17"/>
        <v xml:space="preserve"> </v>
      </c>
      <c r="L140" s="3" t="str">
        <f t="shared" si="18"/>
        <v xml:space="preserve"> </v>
      </c>
      <c r="M140" s="3" t="str">
        <f t="shared" si="19"/>
        <v xml:space="preserve"> </v>
      </c>
    </row>
    <row r="141" spans="1:13">
      <c r="A141" s="8"/>
      <c r="B141" s="8"/>
      <c r="C141" s="8"/>
      <c r="D141" s="5" t="str">
        <f t="shared" si="15"/>
        <v xml:space="preserve"> </v>
      </c>
      <c r="E141" s="5" t="str">
        <f ca="1">IF(ISTEXT(C141),IF(D141=INDIRECT("Equations!$B$" &amp; 'Code per Equation'!$G$4+1),"",SEARCH(D141,INDIRECT("Equations!$C$" &amp; 'Code per Equation'!$G$4+1))),"")</f>
        <v/>
      </c>
      <c r="F141" s="8"/>
      <c r="G141" s="8"/>
      <c r="H141" s="8"/>
      <c r="I141" s="8"/>
      <c r="J141" s="3" t="str">
        <f t="shared" si="16"/>
        <v xml:space="preserve"> </v>
      </c>
      <c r="K141" s="3" t="str">
        <f t="shared" si="17"/>
        <v xml:space="preserve"> </v>
      </c>
      <c r="L141" s="3" t="str">
        <f t="shared" si="18"/>
        <v xml:space="preserve"> </v>
      </c>
      <c r="M141" s="3" t="str">
        <f t="shared" si="19"/>
        <v xml:space="preserve"> </v>
      </c>
    </row>
    <row r="142" spans="1:13">
      <c r="A142" s="8"/>
      <c r="B142" s="8"/>
      <c r="C142" s="8"/>
      <c r="D142" s="5" t="str">
        <f t="shared" si="15"/>
        <v xml:space="preserve"> </v>
      </c>
      <c r="E142" s="5" t="str">
        <f ca="1">IF(ISTEXT(C142),IF(D142=INDIRECT("Equations!$B$" &amp; 'Code per Equation'!$G$4+1),"",SEARCH(D142,INDIRECT("Equations!$C$" &amp; 'Code per Equation'!$G$4+1))),"")</f>
        <v/>
      </c>
      <c r="F142" s="8"/>
      <c r="G142" s="8"/>
      <c r="H142" s="8"/>
      <c r="I142" s="8"/>
      <c r="J142" s="3" t="str">
        <f t="shared" si="16"/>
        <v xml:space="preserve"> </v>
      </c>
      <c r="K142" s="3" t="str">
        <f t="shared" si="17"/>
        <v xml:space="preserve"> </v>
      </c>
      <c r="L142" s="3" t="str">
        <f t="shared" si="18"/>
        <v xml:space="preserve"> </v>
      </c>
      <c r="M142" s="3" t="str">
        <f t="shared" si="19"/>
        <v xml:space="preserve"> </v>
      </c>
    </row>
    <row r="143" spans="1:13">
      <c r="A143" s="8"/>
      <c r="B143" s="8"/>
      <c r="C143" s="8"/>
      <c r="D143" s="5" t="str">
        <f t="shared" si="15"/>
        <v xml:space="preserve"> </v>
      </c>
      <c r="E143" s="5" t="str">
        <f ca="1">IF(ISTEXT(C143),IF(D143=INDIRECT("Equations!$B$" &amp; 'Code per Equation'!$G$4+1),"",SEARCH(D143,INDIRECT("Equations!$C$" &amp; 'Code per Equation'!$G$4+1))),"")</f>
        <v/>
      </c>
      <c r="F143" s="8"/>
      <c r="G143" s="8"/>
      <c r="H143" s="8"/>
      <c r="I143" s="8"/>
      <c r="J143" s="3" t="str">
        <f t="shared" si="16"/>
        <v xml:space="preserve"> </v>
      </c>
      <c r="K143" s="3" t="str">
        <f t="shared" si="17"/>
        <v xml:space="preserve"> </v>
      </c>
      <c r="L143" s="3" t="str">
        <f t="shared" si="18"/>
        <v xml:space="preserve"> </v>
      </c>
      <c r="M143" s="3" t="str">
        <f t="shared" si="19"/>
        <v xml:space="preserve"> </v>
      </c>
    </row>
    <row r="144" spans="1:13">
      <c r="A144" s="8"/>
      <c r="B144" s="8"/>
      <c r="C144" s="8"/>
      <c r="D144" s="5" t="str">
        <f t="shared" si="15"/>
        <v xml:space="preserve"> </v>
      </c>
      <c r="E144" s="5" t="str">
        <f ca="1">IF(ISTEXT(C144),IF(D144=INDIRECT("Equations!$B$" &amp; 'Code per Equation'!$G$4+1),"",SEARCH(D144,INDIRECT("Equations!$C$" &amp; 'Code per Equation'!$G$4+1))),"")</f>
        <v/>
      </c>
      <c r="F144" s="8"/>
      <c r="G144" s="8"/>
      <c r="H144" s="8"/>
      <c r="I144" s="8"/>
      <c r="J144" s="3" t="str">
        <f t="shared" si="16"/>
        <v xml:space="preserve"> </v>
      </c>
      <c r="K144" s="3" t="str">
        <f t="shared" si="17"/>
        <v xml:space="preserve"> </v>
      </c>
      <c r="L144" s="3" t="str">
        <f t="shared" si="18"/>
        <v xml:space="preserve"> </v>
      </c>
      <c r="M144" s="3" t="str">
        <f t="shared" si="19"/>
        <v xml:space="preserve"> </v>
      </c>
    </row>
    <row r="145" spans="1:13">
      <c r="A145" s="8"/>
      <c r="B145" s="8"/>
      <c r="C145" s="8"/>
      <c r="D145" s="5" t="str">
        <f t="shared" si="15"/>
        <v xml:space="preserve"> </v>
      </c>
      <c r="E145" s="5" t="str">
        <f ca="1">IF(ISTEXT(C145),IF(D145=INDIRECT("Equations!$B$" &amp; 'Code per Equation'!$G$4+1),"",SEARCH(D145,INDIRECT("Equations!$C$" &amp; 'Code per Equation'!$G$4+1))),"")</f>
        <v/>
      </c>
      <c r="F145" s="8"/>
      <c r="G145" s="8"/>
      <c r="H145" s="8"/>
      <c r="I145" s="8"/>
      <c r="J145" s="3" t="str">
        <f t="shared" si="16"/>
        <v xml:space="preserve"> </v>
      </c>
      <c r="K145" s="3" t="str">
        <f t="shared" si="17"/>
        <v xml:space="preserve"> </v>
      </c>
      <c r="L145" s="3" t="str">
        <f t="shared" si="18"/>
        <v xml:space="preserve"> </v>
      </c>
      <c r="M145" s="3" t="str">
        <f t="shared" si="19"/>
        <v xml:space="preserve"> </v>
      </c>
    </row>
    <row r="146" spans="1:13">
      <c r="A146" s="8"/>
      <c r="B146" s="8"/>
      <c r="C146" s="8"/>
      <c r="D146" s="5" t="str">
        <f t="shared" si="15"/>
        <v xml:space="preserve"> </v>
      </c>
      <c r="E146" s="5" t="str">
        <f ca="1">IF(ISTEXT(C146),IF(D146=INDIRECT("Equations!$B$" &amp; 'Code per Equation'!$G$4+1),"",SEARCH(D146,INDIRECT("Equations!$C$" &amp; 'Code per Equation'!$G$4+1))),"")</f>
        <v/>
      </c>
      <c r="F146" s="8"/>
      <c r="G146" s="8"/>
      <c r="H146" s="8"/>
      <c r="I146" s="8"/>
      <c r="J146" s="3" t="str">
        <f t="shared" si="16"/>
        <v xml:space="preserve"> </v>
      </c>
      <c r="K146" s="3" t="str">
        <f t="shared" si="17"/>
        <v xml:space="preserve"> </v>
      </c>
      <c r="L146" s="3" t="str">
        <f t="shared" si="18"/>
        <v xml:space="preserve"> </v>
      </c>
      <c r="M146" s="3" t="str">
        <f t="shared" si="19"/>
        <v xml:space="preserve"> </v>
      </c>
    </row>
    <row r="147" spans="1:13">
      <c r="A147" s="8"/>
      <c r="B147" s="8"/>
      <c r="C147" s="8"/>
      <c r="D147" s="5" t="str">
        <f t="shared" si="15"/>
        <v xml:space="preserve"> </v>
      </c>
      <c r="E147" s="5" t="str">
        <f ca="1">IF(ISTEXT(C147),IF(D147=INDIRECT("Equations!$B$" &amp; 'Code per Equation'!$G$4+1),"",SEARCH(D147,INDIRECT("Equations!$C$" &amp; 'Code per Equation'!$G$4+1))),"")</f>
        <v/>
      </c>
      <c r="F147" s="8"/>
      <c r="G147" s="8"/>
      <c r="H147" s="8"/>
      <c r="I147" s="8"/>
      <c r="J147" s="3" t="str">
        <f t="shared" si="16"/>
        <v xml:space="preserve"> </v>
      </c>
      <c r="K147" s="3" t="str">
        <f t="shared" si="17"/>
        <v xml:space="preserve"> </v>
      </c>
      <c r="L147" s="3" t="str">
        <f t="shared" si="18"/>
        <v xml:space="preserve"> </v>
      </c>
      <c r="M147" s="3" t="str">
        <f t="shared" si="19"/>
        <v xml:space="preserve"> </v>
      </c>
    </row>
    <row r="148" spans="1:13">
      <c r="A148" s="8"/>
      <c r="B148" s="8"/>
      <c r="C148" s="8"/>
      <c r="D148" s="5" t="str">
        <f t="shared" si="15"/>
        <v xml:space="preserve"> </v>
      </c>
      <c r="E148" s="5" t="str">
        <f ca="1">IF(ISTEXT(C148),IF(D148=INDIRECT("Equations!$B$" &amp; 'Code per Equation'!$G$4+1),"",SEARCH(D148,INDIRECT("Equations!$C$" &amp; 'Code per Equation'!$G$4+1))),"")</f>
        <v/>
      </c>
      <c r="F148" s="8"/>
      <c r="G148" s="8"/>
      <c r="H148" s="8"/>
      <c r="I148" s="8"/>
      <c r="J148" s="3" t="str">
        <f t="shared" si="16"/>
        <v xml:space="preserve"> </v>
      </c>
      <c r="K148" s="3" t="str">
        <f t="shared" si="17"/>
        <v xml:space="preserve"> </v>
      </c>
      <c r="L148" s="3" t="str">
        <f t="shared" si="18"/>
        <v xml:space="preserve"> </v>
      </c>
      <c r="M148" s="3" t="str">
        <f t="shared" si="19"/>
        <v xml:space="preserve"> </v>
      </c>
    </row>
    <row r="149" spans="1:13">
      <c r="A149" s="8"/>
      <c r="B149" s="8"/>
      <c r="C149" s="8"/>
      <c r="D149" s="5" t="str">
        <f t="shared" si="15"/>
        <v xml:space="preserve"> </v>
      </c>
      <c r="E149" s="5" t="str">
        <f ca="1">IF(ISTEXT(C149),IF(D149=INDIRECT("Equations!$B$" &amp; 'Code per Equation'!$G$4+1),"",SEARCH(D149,INDIRECT("Equations!$C$" &amp; 'Code per Equation'!$G$4+1))),"")</f>
        <v/>
      </c>
      <c r="F149" s="8"/>
      <c r="G149" s="8"/>
      <c r="H149" s="8"/>
      <c r="I149" s="8"/>
      <c r="J149" s="3" t="str">
        <f t="shared" si="16"/>
        <v xml:space="preserve"> </v>
      </c>
      <c r="K149" s="3" t="str">
        <f t="shared" si="17"/>
        <v xml:space="preserve"> </v>
      </c>
      <c r="L149" s="3" t="str">
        <f t="shared" si="18"/>
        <v xml:space="preserve"> </v>
      </c>
      <c r="M149" s="3" t="str">
        <f t="shared" si="19"/>
        <v xml:space="preserve"> </v>
      </c>
    </row>
    <row r="150" spans="1:13">
      <c r="A150" s="8"/>
      <c r="B150" s="8"/>
      <c r="C150" s="8"/>
      <c r="D150" s="5" t="str">
        <f t="shared" si="15"/>
        <v xml:space="preserve"> </v>
      </c>
      <c r="E150" s="5" t="str">
        <f ca="1">IF(ISTEXT(C150),IF(D150=INDIRECT("Equations!$B$" &amp; 'Code per Equation'!$G$4+1),"",SEARCH(D150,INDIRECT("Equations!$C$" &amp; 'Code per Equation'!$G$4+1))),"")</f>
        <v/>
      </c>
      <c r="F150" s="8"/>
      <c r="G150" s="8"/>
      <c r="H150" s="8"/>
      <c r="I150" s="8"/>
      <c r="J150" s="3" t="str">
        <f t="shared" si="16"/>
        <v xml:space="preserve"> </v>
      </c>
      <c r="K150" s="3" t="str">
        <f t="shared" si="17"/>
        <v xml:space="preserve"> </v>
      </c>
      <c r="L150" s="3" t="str">
        <f t="shared" si="18"/>
        <v xml:space="preserve"> </v>
      </c>
      <c r="M150" s="3" t="str">
        <f t="shared" si="19"/>
        <v xml:space="preserve"> </v>
      </c>
    </row>
    <row r="151" spans="1:13">
      <c r="A151" s="8"/>
      <c r="B151" s="8"/>
      <c r="C151" s="8"/>
      <c r="D151" s="5" t="str">
        <f t="shared" si="15"/>
        <v xml:space="preserve"> </v>
      </c>
      <c r="E151" s="5" t="str">
        <f ca="1">IF(ISTEXT(C151),IF(D151=INDIRECT("Equations!$B$" &amp; 'Code per Equation'!$G$4+1),"",SEARCH(D151,INDIRECT("Equations!$C$" &amp; 'Code per Equation'!$G$4+1))),"")</f>
        <v/>
      </c>
      <c r="F151" s="8"/>
      <c r="G151" s="8"/>
      <c r="H151" s="8"/>
      <c r="I151" s="8"/>
      <c r="J151" s="3" t="str">
        <f t="shared" si="16"/>
        <v xml:space="preserve"> </v>
      </c>
      <c r="K151" s="3" t="str">
        <f t="shared" si="17"/>
        <v xml:space="preserve"> </v>
      </c>
      <c r="L151" s="3" t="str">
        <f t="shared" si="18"/>
        <v xml:space="preserve"> </v>
      </c>
      <c r="M151" s="3" t="str">
        <f t="shared" si="19"/>
        <v xml:space="preserve"> </v>
      </c>
    </row>
    <row r="152" spans="1:13">
      <c r="A152" s="8"/>
      <c r="B152" s="8"/>
      <c r="C152" s="8"/>
      <c r="D152" s="5" t="str">
        <f t="shared" si="15"/>
        <v xml:space="preserve"> </v>
      </c>
      <c r="E152" s="5" t="str">
        <f ca="1">IF(ISTEXT(C152),IF(D152=INDIRECT("Equations!$B$" &amp; 'Code per Equation'!$G$4+1),"",SEARCH(D152,INDIRECT("Equations!$C$" &amp; 'Code per Equation'!$G$4+1))),"")</f>
        <v/>
      </c>
      <c r="F152" s="8"/>
      <c r="G152" s="8"/>
      <c r="H152" s="8"/>
      <c r="I152" s="8"/>
      <c r="J152" s="3" t="str">
        <f t="shared" si="16"/>
        <v xml:space="preserve"> </v>
      </c>
      <c r="K152" s="3" t="str">
        <f t="shared" si="17"/>
        <v xml:space="preserve"> </v>
      </c>
      <c r="L152" s="3" t="str">
        <f t="shared" si="18"/>
        <v xml:space="preserve"> </v>
      </c>
      <c r="M152" s="3" t="str">
        <f t="shared" si="19"/>
        <v xml:space="preserve"> </v>
      </c>
    </row>
    <row r="153" spans="1:13">
      <c r="A153" s="8"/>
      <c r="B153" s="8"/>
      <c r="C153" s="8"/>
      <c r="D153" s="5" t="str">
        <f t="shared" si="15"/>
        <v xml:space="preserve"> </v>
      </c>
      <c r="E153" s="5" t="str">
        <f ca="1">IF(ISTEXT(C153),IF(D153=INDIRECT("Equations!$B$" &amp; 'Code per Equation'!$G$4+1),"",SEARCH(D153,INDIRECT("Equations!$C$" &amp; 'Code per Equation'!$G$4+1))),"")</f>
        <v/>
      </c>
      <c r="F153" s="8"/>
      <c r="G153" s="8"/>
      <c r="H153" s="8"/>
      <c r="I153" s="8"/>
      <c r="J153" s="3" t="str">
        <f t="shared" si="16"/>
        <v xml:space="preserve"> </v>
      </c>
      <c r="K153" s="3" t="str">
        <f t="shared" si="17"/>
        <v xml:space="preserve"> </v>
      </c>
      <c r="L153" s="3" t="str">
        <f t="shared" si="18"/>
        <v xml:space="preserve"> </v>
      </c>
      <c r="M153" s="3" t="str">
        <f t="shared" si="19"/>
        <v xml:space="preserve"> </v>
      </c>
    </row>
    <row r="154" spans="1:13">
      <c r="A154" s="8"/>
      <c r="B154" s="8"/>
      <c r="C154" s="8"/>
      <c r="D154" s="5" t="str">
        <f t="shared" si="15"/>
        <v xml:space="preserve"> </v>
      </c>
      <c r="E154" s="5" t="str">
        <f ca="1">IF(ISTEXT(C154),IF(D154=INDIRECT("Equations!$B$" &amp; 'Code per Equation'!$G$4+1),"",SEARCH(D154,INDIRECT("Equations!$C$" &amp; 'Code per Equation'!$G$4+1))),"")</f>
        <v/>
      </c>
      <c r="F154" s="8"/>
      <c r="G154" s="8"/>
      <c r="H154" s="8"/>
      <c r="I154" s="8"/>
      <c r="J154" s="3" t="str">
        <f t="shared" si="16"/>
        <v xml:space="preserve"> </v>
      </c>
      <c r="K154" s="3" t="str">
        <f t="shared" si="17"/>
        <v xml:space="preserve"> </v>
      </c>
      <c r="L154" s="3" t="str">
        <f t="shared" si="18"/>
        <v xml:space="preserve"> </v>
      </c>
      <c r="M154" s="3" t="str">
        <f t="shared" si="19"/>
        <v xml:space="preserve"> </v>
      </c>
    </row>
    <row r="155" spans="1:13">
      <c r="A155" s="8"/>
      <c r="B155" s="8"/>
      <c r="C155" s="8"/>
      <c r="D155" s="5" t="str">
        <f t="shared" si="15"/>
        <v xml:space="preserve"> </v>
      </c>
      <c r="E155" s="5" t="str">
        <f ca="1">IF(ISTEXT(C155),IF(D155=INDIRECT("Equations!$B$" &amp; 'Code per Equation'!$G$4+1),"",SEARCH(D155,INDIRECT("Equations!$C$" &amp; 'Code per Equation'!$G$4+1))),"")</f>
        <v/>
      </c>
      <c r="F155" s="8"/>
      <c r="G155" s="8"/>
      <c r="H155" s="8"/>
      <c r="I155" s="8"/>
      <c r="J155" s="3" t="str">
        <f t="shared" si="16"/>
        <v xml:space="preserve"> </v>
      </c>
      <c r="K155" s="3" t="str">
        <f t="shared" si="17"/>
        <v xml:space="preserve"> </v>
      </c>
      <c r="L155" s="3" t="str">
        <f t="shared" si="18"/>
        <v xml:space="preserve"> </v>
      </c>
      <c r="M155" s="3" t="str">
        <f t="shared" si="19"/>
        <v xml:space="preserve"> </v>
      </c>
    </row>
    <row r="156" spans="1:13">
      <c r="A156" s="8"/>
      <c r="B156" s="8"/>
      <c r="C156" s="8"/>
      <c r="D156" s="5" t="str">
        <f t="shared" si="15"/>
        <v xml:space="preserve"> </v>
      </c>
      <c r="E156" s="5" t="str">
        <f ca="1">IF(ISTEXT(C156),IF(D156=INDIRECT("Equations!$B$" &amp; 'Code per Equation'!$G$4+1),"",SEARCH(D156,INDIRECT("Equations!$C$" &amp; 'Code per Equation'!$G$4+1))),"")</f>
        <v/>
      </c>
      <c r="F156" s="8"/>
      <c r="G156" s="8"/>
      <c r="H156" s="8"/>
      <c r="I156" s="8"/>
      <c r="J156" s="3" t="str">
        <f t="shared" si="16"/>
        <v xml:space="preserve"> </v>
      </c>
      <c r="K156" s="3" t="str">
        <f t="shared" si="17"/>
        <v xml:space="preserve"> </v>
      </c>
      <c r="L156" s="3" t="str">
        <f t="shared" si="18"/>
        <v xml:space="preserve"> </v>
      </c>
      <c r="M156" s="3" t="str">
        <f t="shared" si="19"/>
        <v xml:space="preserve"> </v>
      </c>
    </row>
    <row r="157" spans="1:13">
      <c r="A157" s="8"/>
      <c r="B157" s="8"/>
      <c r="C157" s="8"/>
      <c r="D157" s="5" t="str">
        <f t="shared" si="15"/>
        <v xml:space="preserve"> </v>
      </c>
      <c r="E157" s="5" t="str">
        <f ca="1">IF(ISTEXT(C157),IF(D157=INDIRECT("Equations!$B$" &amp; 'Code per Equation'!$G$4+1),"",SEARCH(D157,INDIRECT("Equations!$C$" &amp; 'Code per Equation'!$G$4+1))),"")</f>
        <v/>
      </c>
      <c r="F157" s="8"/>
      <c r="G157" s="8"/>
      <c r="H157" s="8"/>
      <c r="I157" s="8"/>
      <c r="J157" s="3" t="str">
        <f t="shared" si="16"/>
        <v xml:space="preserve"> </v>
      </c>
      <c r="K157" s="3" t="str">
        <f t="shared" si="17"/>
        <v xml:space="preserve"> </v>
      </c>
      <c r="L157" s="3" t="str">
        <f t="shared" si="18"/>
        <v xml:space="preserve"> </v>
      </c>
      <c r="M157" s="3" t="str">
        <f t="shared" si="19"/>
        <v xml:space="preserve"> </v>
      </c>
    </row>
    <row r="158" spans="1:13">
      <c r="A158" s="8"/>
      <c r="B158" s="8"/>
      <c r="C158" s="8"/>
      <c r="D158" s="5" t="str">
        <f t="shared" si="15"/>
        <v xml:space="preserve"> </v>
      </c>
      <c r="E158" s="5" t="str">
        <f ca="1">IF(ISTEXT(C158),IF(D158=INDIRECT("Equations!$B$" &amp; 'Code per Equation'!$G$4+1),"",SEARCH(D158,INDIRECT("Equations!$C$" &amp; 'Code per Equation'!$G$4+1))),"")</f>
        <v/>
      </c>
      <c r="F158" s="8"/>
      <c r="G158" s="8"/>
      <c r="H158" s="8"/>
      <c r="I158" s="8"/>
      <c r="J158" s="3" t="str">
        <f t="shared" si="16"/>
        <v xml:space="preserve"> </v>
      </c>
      <c r="K158" s="3" t="str">
        <f t="shared" si="17"/>
        <v xml:space="preserve"> </v>
      </c>
      <c r="L158" s="3" t="str">
        <f t="shared" si="18"/>
        <v xml:space="preserve"> </v>
      </c>
      <c r="M158" s="3" t="str">
        <f t="shared" si="19"/>
        <v xml:space="preserve"> </v>
      </c>
    </row>
    <row r="159" spans="1:13">
      <c r="A159" s="8"/>
      <c r="B159" s="8"/>
      <c r="C159" s="8"/>
      <c r="D159" s="5" t="str">
        <f t="shared" si="15"/>
        <v xml:space="preserve"> </v>
      </c>
      <c r="E159" s="5" t="str">
        <f ca="1">IF(ISTEXT(C159),IF(D159=INDIRECT("Equations!$B$" &amp; 'Code per Equation'!$G$4+1),"",SEARCH(D159,INDIRECT("Equations!$C$" &amp; 'Code per Equation'!$G$4+1))),"")</f>
        <v/>
      </c>
      <c r="F159" s="8"/>
      <c r="G159" s="8"/>
      <c r="H159" s="8"/>
      <c r="I159" s="8"/>
      <c r="J159" s="3" t="str">
        <f t="shared" si="16"/>
        <v xml:space="preserve"> </v>
      </c>
      <c r="K159" s="3" t="str">
        <f t="shared" si="17"/>
        <v xml:space="preserve"> </v>
      </c>
      <c r="L159" s="3" t="str">
        <f t="shared" si="18"/>
        <v xml:space="preserve"> </v>
      </c>
      <c r="M159" s="3" t="str">
        <f t="shared" si="19"/>
        <v xml:space="preserve"> </v>
      </c>
    </row>
    <row r="160" spans="1:13">
      <c r="A160" s="8"/>
      <c r="B160" s="8"/>
      <c r="C160" s="8"/>
      <c r="D160" s="5" t="str">
        <f t="shared" si="15"/>
        <v xml:space="preserve"> </v>
      </c>
      <c r="E160" s="5" t="str">
        <f ca="1">IF(ISTEXT(C160),IF(D160=INDIRECT("Equations!$B$" &amp; 'Code per Equation'!$G$4+1),"",SEARCH(D160,INDIRECT("Equations!$C$" &amp; 'Code per Equation'!$G$4+1))),"")</f>
        <v/>
      </c>
      <c r="F160" s="8"/>
      <c r="G160" s="8"/>
      <c r="H160" s="8"/>
      <c r="I160" s="8"/>
      <c r="J160" s="3" t="str">
        <f t="shared" si="16"/>
        <v xml:space="preserve"> </v>
      </c>
      <c r="K160" s="3" t="str">
        <f t="shared" si="17"/>
        <v xml:space="preserve"> </v>
      </c>
      <c r="L160" s="3" t="str">
        <f t="shared" si="18"/>
        <v xml:space="preserve"> </v>
      </c>
      <c r="M160" s="3" t="str">
        <f t="shared" si="19"/>
        <v xml:space="preserve"> </v>
      </c>
    </row>
    <row r="161" spans="1:13">
      <c r="A161" s="8"/>
      <c r="B161" s="8"/>
      <c r="C161" s="8"/>
      <c r="D161" s="5" t="str">
        <f t="shared" si="15"/>
        <v xml:space="preserve"> </v>
      </c>
      <c r="E161" s="5" t="str">
        <f ca="1">IF(ISTEXT(C161),IF(D161=INDIRECT("Equations!$B$" &amp; 'Code per Equation'!$G$4+1),"",SEARCH(D161,INDIRECT("Equations!$C$" &amp; 'Code per Equation'!$G$4+1))),"")</f>
        <v/>
      </c>
      <c r="F161" s="8"/>
      <c r="G161" s="8"/>
      <c r="H161" s="8"/>
      <c r="I161" s="8"/>
      <c r="J161" s="3" t="str">
        <f t="shared" si="16"/>
        <v xml:space="preserve"> </v>
      </c>
      <c r="K161" s="3" t="str">
        <f t="shared" si="17"/>
        <v xml:space="preserve"> </v>
      </c>
      <c r="L161" s="3" t="str">
        <f t="shared" si="18"/>
        <v xml:space="preserve"> </v>
      </c>
      <c r="M161" s="3" t="str">
        <f t="shared" si="19"/>
        <v xml:space="preserve"> </v>
      </c>
    </row>
    <row r="162" spans="1:13">
      <c r="A162" s="8"/>
      <c r="B162" s="8"/>
      <c r="C162" s="8"/>
      <c r="D162" s="5" t="str">
        <f t="shared" si="15"/>
        <v xml:space="preserve"> </v>
      </c>
      <c r="E162" s="5" t="str">
        <f ca="1">IF(ISTEXT(C162),IF(D162=INDIRECT("Equations!$B$" &amp; 'Code per Equation'!$G$4+1),"",SEARCH(D162,INDIRECT("Equations!$C$" &amp; 'Code per Equation'!$G$4+1))),"")</f>
        <v/>
      </c>
      <c r="F162" s="8"/>
      <c r="G162" s="8"/>
      <c r="H162" s="8"/>
      <c r="I162" s="8"/>
      <c r="J162" s="3" t="str">
        <f t="shared" si="16"/>
        <v xml:space="preserve"> </v>
      </c>
      <c r="K162" s="3" t="str">
        <f t="shared" si="17"/>
        <v xml:space="preserve"> </v>
      </c>
      <c r="L162" s="3" t="str">
        <f t="shared" si="18"/>
        <v xml:space="preserve"> </v>
      </c>
      <c r="M162" s="3" t="str">
        <f t="shared" si="19"/>
        <v xml:space="preserve"> </v>
      </c>
    </row>
    <row r="163" spans="1:13">
      <c r="A163" s="8"/>
      <c r="B163" s="8"/>
      <c r="C163" s="8"/>
      <c r="D163" s="5" t="str">
        <f t="shared" si="15"/>
        <v xml:space="preserve"> </v>
      </c>
      <c r="E163" s="5" t="str">
        <f ca="1">IF(ISTEXT(C163),IF(D163=INDIRECT("Equations!$B$" &amp; 'Code per Equation'!$G$4+1),"",SEARCH(D163,INDIRECT("Equations!$C$" &amp; 'Code per Equation'!$G$4+1))),"")</f>
        <v/>
      </c>
      <c r="F163" s="8"/>
      <c r="G163" s="8"/>
      <c r="H163" s="8"/>
      <c r="I163" s="8"/>
      <c r="J163" s="3" t="str">
        <f t="shared" si="16"/>
        <v xml:space="preserve"> </v>
      </c>
      <c r="K163" s="3" t="str">
        <f t="shared" si="17"/>
        <v xml:space="preserve"> </v>
      </c>
      <c r="L163" s="3" t="str">
        <f t="shared" si="18"/>
        <v xml:space="preserve"> </v>
      </c>
      <c r="M163" s="3" t="str">
        <f t="shared" si="19"/>
        <v xml:space="preserve"> </v>
      </c>
    </row>
    <row r="164" spans="1:13">
      <c r="A164" s="8"/>
      <c r="B164" s="8"/>
      <c r="C164" s="8"/>
      <c r="D164" s="5" t="str">
        <f t="shared" si="15"/>
        <v xml:space="preserve"> </v>
      </c>
      <c r="E164" s="5" t="str">
        <f ca="1">IF(ISTEXT(C164),IF(D164=INDIRECT("Equations!$B$" &amp; 'Code per Equation'!$G$4+1),"",SEARCH(D164,INDIRECT("Equations!$C$" &amp; 'Code per Equation'!$G$4+1))),"")</f>
        <v/>
      </c>
      <c r="F164" s="8"/>
      <c r="G164" s="8"/>
      <c r="H164" s="8"/>
      <c r="I164" s="8"/>
      <c r="J164" s="3" t="str">
        <f t="shared" si="16"/>
        <v xml:space="preserve"> </v>
      </c>
      <c r="K164" s="3" t="str">
        <f t="shared" si="17"/>
        <v xml:space="preserve"> </v>
      </c>
      <c r="L164" s="3" t="str">
        <f t="shared" si="18"/>
        <v xml:space="preserve"> </v>
      </c>
      <c r="M164" s="3" t="str">
        <f t="shared" si="19"/>
        <v xml:space="preserve"> </v>
      </c>
    </row>
    <row r="165" spans="1:13">
      <c r="A165" s="8"/>
      <c r="B165" s="8"/>
      <c r="C165" s="8"/>
      <c r="D165" s="5" t="str">
        <f t="shared" si="15"/>
        <v xml:space="preserve"> </v>
      </c>
      <c r="E165" s="5" t="str">
        <f ca="1">IF(ISTEXT(C165),IF(D165=INDIRECT("Equations!$B$" &amp; 'Code per Equation'!$G$4+1),"",SEARCH(D165,INDIRECT("Equations!$C$" &amp; 'Code per Equation'!$G$4+1))),"")</f>
        <v/>
      </c>
      <c r="F165" s="8"/>
      <c r="G165" s="8"/>
      <c r="H165" s="8"/>
      <c r="I165" s="8"/>
      <c r="J165" s="3" t="str">
        <f t="shared" si="16"/>
        <v xml:space="preserve"> </v>
      </c>
      <c r="K165" s="3" t="str">
        <f t="shared" si="17"/>
        <v xml:space="preserve"> </v>
      </c>
      <c r="L165" s="3" t="str">
        <f t="shared" si="18"/>
        <v xml:space="preserve"> </v>
      </c>
      <c r="M165" s="3" t="str">
        <f t="shared" si="19"/>
        <v xml:space="preserve"> </v>
      </c>
    </row>
    <row r="166" spans="1:13">
      <c r="A166" s="8"/>
      <c r="B166" s="8"/>
      <c r="C166" s="8"/>
      <c r="D166" s="5" t="str">
        <f t="shared" si="15"/>
        <v xml:space="preserve"> </v>
      </c>
      <c r="E166" s="5" t="str">
        <f ca="1">IF(ISTEXT(C166),IF(D166=INDIRECT("Equations!$B$" &amp; 'Code per Equation'!$G$4+1),"",SEARCH(D166,INDIRECT("Equations!$C$" &amp; 'Code per Equation'!$G$4+1))),"")</f>
        <v/>
      </c>
      <c r="F166" s="8"/>
      <c r="G166" s="8"/>
      <c r="H166" s="8"/>
      <c r="I166" s="8"/>
      <c r="J166" s="3" t="str">
        <f t="shared" si="16"/>
        <v xml:space="preserve"> </v>
      </c>
      <c r="K166" s="3" t="str">
        <f t="shared" si="17"/>
        <v xml:space="preserve"> </v>
      </c>
      <c r="L166" s="3" t="str">
        <f t="shared" si="18"/>
        <v xml:space="preserve"> </v>
      </c>
      <c r="M166" s="3" t="str">
        <f t="shared" si="19"/>
        <v xml:space="preserve"> </v>
      </c>
    </row>
    <row r="167" spans="1:13">
      <c r="A167" s="8"/>
      <c r="B167" s="8"/>
      <c r="C167" s="8"/>
      <c r="D167" s="5" t="str">
        <f t="shared" si="15"/>
        <v xml:space="preserve"> </v>
      </c>
      <c r="E167" s="5" t="str">
        <f ca="1">IF(ISTEXT(C167),IF(D167=INDIRECT("Equations!$B$" &amp; 'Code per Equation'!$G$4+1),"",SEARCH(D167,INDIRECT("Equations!$C$" &amp; 'Code per Equation'!$G$4+1))),"")</f>
        <v/>
      </c>
      <c r="F167" s="8"/>
      <c r="G167" s="8"/>
      <c r="H167" s="8"/>
      <c r="I167" s="8"/>
      <c r="J167" s="3" t="str">
        <f t="shared" si="16"/>
        <v xml:space="preserve"> </v>
      </c>
      <c r="K167" s="3" t="str">
        <f t="shared" si="17"/>
        <v xml:space="preserve"> </v>
      </c>
      <c r="L167" s="3" t="str">
        <f t="shared" si="18"/>
        <v xml:space="preserve"> </v>
      </c>
      <c r="M167" s="3" t="str">
        <f t="shared" si="19"/>
        <v xml:space="preserve"> </v>
      </c>
    </row>
    <row r="168" spans="1:13">
      <c r="A168" s="8"/>
      <c r="B168" s="8"/>
      <c r="C168" s="8"/>
      <c r="D168" s="5" t="str">
        <f t="shared" si="15"/>
        <v xml:space="preserve"> </v>
      </c>
      <c r="E168" s="5" t="str">
        <f ca="1">IF(ISTEXT(C168),IF(D168=INDIRECT("Equations!$B$" &amp; 'Code per Equation'!$G$4+1),"",SEARCH(D168,INDIRECT("Equations!$C$" &amp; 'Code per Equation'!$G$4+1))),"")</f>
        <v/>
      </c>
      <c r="F168" s="8"/>
      <c r="G168" s="8"/>
      <c r="H168" s="8"/>
      <c r="I168" s="8"/>
      <c r="J168" s="3" t="str">
        <f t="shared" si="16"/>
        <v xml:space="preserve"> </v>
      </c>
      <c r="K168" s="3" t="str">
        <f t="shared" si="17"/>
        <v xml:space="preserve"> </v>
      </c>
      <c r="L168" s="3" t="str">
        <f t="shared" si="18"/>
        <v xml:space="preserve"> </v>
      </c>
      <c r="M168" s="3" t="str">
        <f t="shared" si="19"/>
        <v xml:space="preserve"> </v>
      </c>
    </row>
    <row r="169" spans="1:13">
      <c r="A169" s="8"/>
      <c r="B169" s="8"/>
      <c r="C169" s="8"/>
      <c r="D169" s="5" t="str">
        <f t="shared" si="15"/>
        <v xml:space="preserve"> </v>
      </c>
      <c r="E169" s="5" t="str">
        <f ca="1">IF(ISTEXT(C169),IF(D169=INDIRECT("Equations!$B$" &amp; 'Code per Equation'!$G$4+1),"",SEARCH(D169,INDIRECT("Equations!$C$" &amp; 'Code per Equation'!$G$4+1))),"")</f>
        <v/>
      </c>
      <c r="F169" s="8"/>
      <c r="G169" s="8"/>
      <c r="H169" s="8"/>
      <c r="I169" s="8"/>
      <c r="J169" s="3" t="str">
        <f t="shared" si="16"/>
        <v xml:space="preserve"> </v>
      </c>
      <c r="K169" s="3" t="str">
        <f t="shared" si="17"/>
        <v xml:space="preserve"> </v>
      </c>
      <c r="L169" s="3" t="str">
        <f t="shared" si="18"/>
        <v xml:space="preserve"> </v>
      </c>
      <c r="M169" s="3" t="str">
        <f t="shared" si="19"/>
        <v xml:space="preserve"> </v>
      </c>
    </row>
    <row r="170" spans="1:13">
      <c r="A170" s="8"/>
      <c r="B170" s="8"/>
      <c r="C170" s="8"/>
      <c r="D170" s="5" t="str">
        <f t="shared" si="15"/>
        <v xml:space="preserve"> </v>
      </c>
      <c r="E170" s="5" t="str">
        <f ca="1">IF(ISTEXT(C170),IF(D170=INDIRECT("Equations!$B$" &amp; 'Code per Equation'!$G$4+1),"",SEARCH(D170,INDIRECT("Equations!$C$" &amp; 'Code per Equation'!$G$4+1))),"")</f>
        <v/>
      </c>
      <c r="F170" s="8"/>
      <c r="G170" s="8"/>
      <c r="H170" s="8"/>
      <c r="I170" s="8"/>
      <c r="J170" s="3" t="str">
        <f t="shared" si="16"/>
        <v xml:space="preserve"> </v>
      </c>
      <c r="K170" s="3" t="str">
        <f t="shared" si="17"/>
        <v xml:space="preserve"> </v>
      </c>
      <c r="L170" s="3" t="str">
        <f t="shared" si="18"/>
        <v xml:space="preserve"> </v>
      </c>
      <c r="M170" s="3" t="str">
        <f t="shared" si="19"/>
        <v xml:space="preserve"> </v>
      </c>
    </row>
    <row r="171" spans="1:13">
      <c r="A171" s="8"/>
      <c r="B171" s="8"/>
      <c r="C171" s="8"/>
      <c r="D171" s="5" t="str">
        <f t="shared" si="15"/>
        <v xml:space="preserve"> </v>
      </c>
      <c r="E171" s="5" t="str">
        <f ca="1">IF(ISTEXT(C171),IF(D171=INDIRECT("Equations!$B$" &amp; 'Code per Equation'!$G$4+1),"",SEARCH(D171,INDIRECT("Equations!$C$" &amp; 'Code per Equation'!$G$4+1))),"")</f>
        <v/>
      </c>
      <c r="F171" s="8"/>
      <c r="G171" s="8"/>
      <c r="H171" s="8"/>
      <c r="I171" s="8"/>
      <c r="J171" s="3" t="str">
        <f t="shared" si="16"/>
        <v xml:space="preserve"> </v>
      </c>
      <c r="K171" s="3" t="str">
        <f t="shared" si="17"/>
        <v xml:space="preserve"> </v>
      </c>
      <c r="L171" s="3" t="str">
        <f t="shared" si="18"/>
        <v xml:space="preserve"> </v>
      </c>
      <c r="M171" s="3" t="str">
        <f t="shared" si="19"/>
        <v xml:space="preserve"> </v>
      </c>
    </row>
    <row r="172" spans="1:13">
      <c r="A172" s="8"/>
      <c r="B172" s="8"/>
      <c r="C172" s="8"/>
      <c r="D172" s="5" t="str">
        <f t="shared" si="15"/>
        <v xml:space="preserve"> </v>
      </c>
      <c r="E172" s="5" t="str">
        <f ca="1">IF(ISTEXT(C172),IF(D172=INDIRECT("Equations!$B$" &amp; 'Code per Equation'!$G$4+1),"",SEARCH(D172,INDIRECT("Equations!$C$" &amp; 'Code per Equation'!$G$4+1))),"")</f>
        <v/>
      </c>
      <c r="F172" s="8"/>
      <c r="G172" s="8"/>
      <c r="H172" s="8"/>
      <c r="I172" s="8"/>
      <c r="J172" s="3" t="str">
        <f t="shared" si="16"/>
        <v xml:space="preserve"> </v>
      </c>
      <c r="K172" s="3" t="str">
        <f t="shared" si="17"/>
        <v xml:space="preserve"> </v>
      </c>
      <c r="L172" s="3" t="str">
        <f t="shared" si="18"/>
        <v xml:space="preserve"> </v>
      </c>
      <c r="M172" s="3" t="str">
        <f t="shared" si="19"/>
        <v xml:space="preserve"> </v>
      </c>
    </row>
    <row r="173" spans="1:13">
      <c r="A173" s="8"/>
      <c r="B173" s="8"/>
      <c r="C173" s="8"/>
      <c r="D173" s="5" t="str">
        <f t="shared" si="15"/>
        <v xml:space="preserve"> </v>
      </c>
      <c r="E173" s="5" t="str">
        <f ca="1">IF(ISTEXT(C173),IF(D173=INDIRECT("Equations!$B$" &amp; 'Code per Equation'!$G$4+1),"",SEARCH(D173,INDIRECT("Equations!$C$" &amp; 'Code per Equation'!$G$4+1))),"")</f>
        <v/>
      </c>
      <c r="F173" s="8"/>
      <c r="G173" s="8"/>
      <c r="H173" s="8"/>
      <c r="I173" s="8"/>
      <c r="J173" s="3" t="str">
        <f t="shared" si="16"/>
        <v xml:space="preserve"> </v>
      </c>
      <c r="K173" s="3" t="str">
        <f t="shared" si="17"/>
        <v xml:space="preserve"> </v>
      </c>
      <c r="L173" s="3" t="str">
        <f t="shared" si="18"/>
        <v xml:space="preserve"> </v>
      </c>
      <c r="M173" s="3" t="str">
        <f t="shared" si="19"/>
        <v xml:space="preserve"> </v>
      </c>
    </row>
    <row r="174" spans="1:13">
      <c r="A174" s="8"/>
      <c r="B174" s="8"/>
      <c r="C174" s="8"/>
      <c r="D174" s="5" t="str">
        <f t="shared" si="15"/>
        <v xml:space="preserve"> </v>
      </c>
      <c r="E174" s="5" t="str">
        <f ca="1">IF(ISTEXT(C174),IF(D174=INDIRECT("Equations!$B$" &amp; 'Code per Equation'!$G$4+1),"",SEARCH(D174,INDIRECT("Equations!$C$" &amp; 'Code per Equation'!$G$4+1))),"")</f>
        <v/>
      </c>
      <c r="F174" s="8"/>
      <c r="G174" s="8"/>
      <c r="H174" s="8"/>
      <c r="I174" s="8"/>
      <c r="J174" s="3" t="str">
        <f t="shared" si="16"/>
        <v xml:space="preserve"> </v>
      </c>
      <c r="K174" s="3" t="str">
        <f t="shared" si="17"/>
        <v xml:space="preserve"> </v>
      </c>
      <c r="L174" s="3" t="str">
        <f t="shared" si="18"/>
        <v xml:space="preserve"> </v>
      </c>
      <c r="M174" s="3" t="str">
        <f t="shared" si="19"/>
        <v xml:space="preserve"> </v>
      </c>
    </row>
    <row r="175" spans="1:13">
      <c r="A175" s="8"/>
      <c r="B175" s="8"/>
      <c r="C175" s="8"/>
      <c r="D175" s="5" t="str">
        <f t="shared" si="15"/>
        <v xml:space="preserve"> </v>
      </c>
      <c r="E175" s="5" t="str">
        <f ca="1">IF(ISTEXT(C175),IF(D175=INDIRECT("Equations!$B$" &amp; 'Code per Equation'!$G$4+1),"",SEARCH(D175,INDIRECT("Equations!$C$" &amp; 'Code per Equation'!$G$4+1))),"")</f>
        <v/>
      </c>
      <c r="F175" s="8"/>
      <c r="G175" s="8"/>
      <c r="H175" s="8"/>
      <c r="I175" s="8"/>
      <c r="J175" s="3" t="str">
        <f t="shared" si="16"/>
        <v xml:space="preserve"> </v>
      </c>
      <c r="K175" s="3" t="str">
        <f t="shared" si="17"/>
        <v xml:space="preserve"> </v>
      </c>
      <c r="L175" s="3" t="str">
        <f t="shared" si="18"/>
        <v xml:space="preserve"> </v>
      </c>
      <c r="M175" s="3" t="str">
        <f t="shared" si="19"/>
        <v xml:space="preserve"> </v>
      </c>
    </row>
    <row r="176" spans="1:13">
      <c r="A176" s="8"/>
      <c r="B176" s="8"/>
      <c r="C176" s="8"/>
      <c r="D176" s="5" t="str">
        <f t="shared" si="15"/>
        <v xml:space="preserve"> </v>
      </c>
      <c r="E176" s="5" t="str">
        <f ca="1">IF(ISTEXT(C176),IF(D176=INDIRECT("Equations!$B$" &amp; 'Code per Equation'!$G$4+1),"",SEARCH(D176,INDIRECT("Equations!$C$" &amp; 'Code per Equation'!$G$4+1))),"")</f>
        <v/>
      </c>
      <c r="F176" s="8"/>
      <c r="G176" s="8"/>
      <c r="H176" s="8"/>
      <c r="I176" s="8"/>
      <c r="J176" s="3" t="str">
        <f t="shared" si="16"/>
        <v xml:space="preserve"> </v>
      </c>
      <c r="K176" s="3" t="str">
        <f t="shared" si="17"/>
        <v xml:space="preserve"> </v>
      </c>
      <c r="L176" s="3" t="str">
        <f t="shared" si="18"/>
        <v xml:space="preserve"> </v>
      </c>
      <c r="M176" s="3" t="str">
        <f t="shared" si="19"/>
        <v xml:space="preserve"> </v>
      </c>
    </row>
    <row r="177" spans="1:13">
      <c r="A177" s="8"/>
      <c r="B177" s="8"/>
      <c r="C177" s="8"/>
      <c r="D177" s="5" t="str">
        <f t="shared" si="15"/>
        <v xml:space="preserve"> </v>
      </c>
      <c r="E177" s="5" t="str">
        <f ca="1">IF(ISTEXT(C177),IF(D177=INDIRECT("Equations!$B$" &amp; 'Code per Equation'!$G$4+1),"",SEARCH(D177,INDIRECT("Equations!$C$" &amp; 'Code per Equation'!$G$4+1))),"")</f>
        <v/>
      </c>
      <c r="F177" s="8"/>
      <c r="G177" s="8"/>
      <c r="H177" s="8"/>
      <c r="I177" s="8"/>
      <c r="J177" s="3" t="str">
        <f t="shared" si="16"/>
        <v xml:space="preserve"> </v>
      </c>
      <c r="K177" s="3" t="str">
        <f t="shared" si="17"/>
        <v xml:space="preserve"> </v>
      </c>
      <c r="L177" s="3" t="str">
        <f t="shared" si="18"/>
        <v xml:space="preserve"> </v>
      </c>
      <c r="M177" s="3" t="str">
        <f t="shared" si="19"/>
        <v xml:space="preserve"> </v>
      </c>
    </row>
    <row r="178" spans="1:13">
      <c r="A178" s="8"/>
      <c r="B178" s="8"/>
      <c r="C178" s="8"/>
      <c r="D178" s="5" t="str">
        <f t="shared" si="15"/>
        <v xml:space="preserve"> </v>
      </c>
      <c r="E178" s="5" t="str">
        <f ca="1">IF(ISTEXT(C178),IF(D178=INDIRECT("Equations!$B$" &amp; 'Code per Equation'!$G$4+1),"",SEARCH(D178,INDIRECT("Equations!$C$" &amp; 'Code per Equation'!$G$4+1))),"")</f>
        <v/>
      </c>
      <c r="F178" s="8"/>
      <c r="G178" s="8"/>
      <c r="H178" s="8"/>
      <c r="I178" s="8"/>
      <c r="J178" s="3" t="str">
        <f t="shared" si="16"/>
        <v xml:space="preserve"> </v>
      </c>
      <c r="K178" s="3" t="str">
        <f t="shared" si="17"/>
        <v xml:space="preserve"> </v>
      </c>
      <c r="L178" s="3" t="str">
        <f t="shared" si="18"/>
        <v xml:space="preserve"> </v>
      </c>
      <c r="M178" s="3" t="str">
        <f t="shared" si="19"/>
        <v xml:space="preserve"> </v>
      </c>
    </row>
    <row r="179" spans="1:13">
      <c r="A179" s="8"/>
      <c r="B179" s="8"/>
      <c r="C179" s="8"/>
      <c r="D179" s="5" t="str">
        <f t="shared" si="15"/>
        <v xml:space="preserve"> </v>
      </c>
      <c r="E179" s="5" t="str">
        <f ca="1">IF(ISTEXT(C179),IF(D179=INDIRECT("Equations!$B$" &amp; 'Code per Equation'!$G$4+1),"",SEARCH(D179,INDIRECT("Equations!$C$" &amp; 'Code per Equation'!$G$4+1))),"")</f>
        <v/>
      </c>
      <c r="F179" s="8"/>
      <c r="G179" s="8"/>
      <c r="H179" s="8"/>
      <c r="I179" s="8"/>
      <c r="J179" s="3" t="str">
        <f t="shared" si="16"/>
        <v xml:space="preserve"> </v>
      </c>
      <c r="K179" s="3" t="str">
        <f t="shared" si="17"/>
        <v xml:space="preserve"> </v>
      </c>
      <c r="L179" s="3" t="str">
        <f t="shared" si="18"/>
        <v xml:space="preserve"> </v>
      </c>
      <c r="M179" s="3" t="str">
        <f t="shared" si="19"/>
        <v xml:space="preserve"> </v>
      </c>
    </row>
    <row r="180" spans="1:13">
      <c r="A180" s="8"/>
      <c r="B180" s="8"/>
      <c r="C180" s="8"/>
      <c r="D180" s="5" t="str">
        <f t="shared" si="15"/>
        <v xml:space="preserve"> </v>
      </c>
      <c r="E180" s="5" t="str">
        <f ca="1">IF(ISTEXT(C180),IF(D180=INDIRECT("Equations!$B$" &amp; 'Code per Equation'!$G$4+1),"",SEARCH(D180,INDIRECT("Equations!$C$" &amp; 'Code per Equation'!$G$4+1))),"")</f>
        <v/>
      </c>
      <c r="F180" s="8"/>
      <c r="G180" s="8"/>
      <c r="H180" s="8"/>
      <c r="I180" s="8"/>
      <c r="J180" s="3" t="str">
        <f t="shared" si="16"/>
        <v xml:space="preserve"> </v>
      </c>
      <c r="K180" s="3" t="str">
        <f t="shared" si="17"/>
        <v xml:space="preserve"> </v>
      </c>
      <c r="L180" s="3" t="str">
        <f t="shared" si="18"/>
        <v xml:space="preserve"> </v>
      </c>
      <c r="M180" s="3" t="str">
        <f t="shared" si="19"/>
        <v xml:space="preserve"> </v>
      </c>
    </row>
    <row r="181" spans="1:13">
      <c r="A181" s="8"/>
      <c r="B181" s="8"/>
      <c r="C181" s="8"/>
      <c r="D181" s="5" t="str">
        <f t="shared" si="15"/>
        <v xml:space="preserve"> </v>
      </c>
      <c r="E181" s="5" t="str">
        <f ca="1">IF(ISTEXT(C181),IF(D181=INDIRECT("Equations!$B$" &amp; 'Code per Equation'!$G$4+1),"",SEARCH(D181,INDIRECT("Equations!$C$" &amp; 'Code per Equation'!$G$4+1))),"")</f>
        <v/>
      </c>
      <c r="F181" s="8"/>
      <c r="G181" s="8"/>
      <c r="H181" s="8"/>
      <c r="I181" s="8"/>
      <c r="J181" s="3" t="str">
        <f t="shared" si="16"/>
        <v xml:space="preserve"> </v>
      </c>
      <c r="K181" s="3" t="str">
        <f t="shared" si="17"/>
        <v xml:space="preserve"> </v>
      </c>
      <c r="L181" s="3" t="str">
        <f t="shared" si="18"/>
        <v xml:space="preserve"> </v>
      </c>
      <c r="M181" s="3" t="str">
        <f t="shared" si="19"/>
        <v xml:space="preserve"> </v>
      </c>
    </row>
    <row r="182" spans="1:13">
      <c r="A182" s="8"/>
      <c r="B182" s="8"/>
      <c r="C182" s="8"/>
      <c r="D182" s="5" t="str">
        <f t="shared" si="15"/>
        <v xml:space="preserve"> </v>
      </c>
      <c r="E182" s="5" t="str">
        <f ca="1">IF(ISTEXT(C182),IF(D182=INDIRECT("Equations!$B$" &amp; 'Code per Equation'!$G$4+1),"",SEARCH(D182,INDIRECT("Equations!$C$" &amp; 'Code per Equation'!$G$4+1))),"")</f>
        <v/>
      </c>
      <c r="F182" s="8"/>
      <c r="G182" s="8"/>
      <c r="H182" s="8"/>
      <c r="I182" s="8"/>
      <c r="J182" s="3" t="str">
        <f t="shared" si="16"/>
        <v xml:space="preserve"> </v>
      </c>
      <c r="K182" s="3" t="str">
        <f t="shared" si="17"/>
        <v xml:space="preserve"> </v>
      </c>
      <c r="L182" s="3" t="str">
        <f t="shared" si="18"/>
        <v xml:space="preserve"> </v>
      </c>
      <c r="M182" s="3" t="str">
        <f t="shared" si="19"/>
        <v xml:space="preserve"> </v>
      </c>
    </row>
    <row r="183" spans="1:13">
      <c r="A183" s="8"/>
      <c r="B183" s="8"/>
      <c r="C183" s="8"/>
      <c r="D183" s="5" t="str">
        <f t="shared" si="15"/>
        <v xml:space="preserve"> </v>
      </c>
      <c r="E183" s="5" t="str">
        <f ca="1">IF(ISTEXT(C183),IF(D183=INDIRECT("Equations!$B$" &amp; 'Code per Equation'!$G$4+1),"",SEARCH(D183,INDIRECT("Equations!$C$" &amp; 'Code per Equation'!$G$4+1))),"")</f>
        <v/>
      </c>
      <c r="F183" s="8"/>
      <c r="G183" s="8"/>
      <c r="H183" s="8"/>
      <c r="I183" s="8"/>
      <c r="J183" s="3" t="str">
        <f t="shared" si="16"/>
        <v xml:space="preserve"> </v>
      </c>
      <c r="K183" s="3" t="str">
        <f t="shared" si="17"/>
        <v xml:space="preserve"> </v>
      </c>
      <c r="L183" s="3" t="str">
        <f t="shared" si="18"/>
        <v xml:space="preserve"> </v>
      </c>
      <c r="M183" s="3" t="str">
        <f t="shared" si="19"/>
        <v xml:space="preserve"> </v>
      </c>
    </row>
    <row r="184" spans="1:13">
      <c r="A184" s="8"/>
      <c r="B184" s="8"/>
      <c r="C184" s="8"/>
      <c r="D184" s="5" t="str">
        <f t="shared" si="15"/>
        <v xml:space="preserve"> </v>
      </c>
      <c r="E184" s="5" t="str">
        <f ca="1">IF(ISTEXT(C184),IF(D184=INDIRECT("Equations!$B$" &amp; 'Code per Equation'!$G$4+1),"",SEARCH(D184,INDIRECT("Equations!$C$" &amp; 'Code per Equation'!$G$4+1))),"")</f>
        <v/>
      </c>
      <c r="F184" s="8"/>
      <c r="G184" s="8"/>
      <c r="H184" s="8"/>
      <c r="I184" s="8"/>
      <c r="J184" s="3" t="str">
        <f t="shared" si="16"/>
        <v xml:space="preserve"> </v>
      </c>
      <c r="K184" s="3" t="str">
        <f t="shared" si="17"/>
        <v xml:space="preserve"> </v>
      </c>
      <c r="L184" s="3" t="str">
        <f t="shared" si="18"/>
        <v xml:space="preserve"> </v>
      </c>
      <c r="M184" s="3" t="str">
        <f t="shared" si="19"/>
        <v xml:space="preserve"> </v>
      </c>
    </row>
    <row r="185" spans="1:13">
      <c r="A185" s="8"/>
      <c r="B185" s="8"/>
      <c r="C185" s="8"/>
      <c r="D185" s="5" t="str">
        <f t="shared" si="15"/>
        <v xml:space="preserve"> </v>
      </c>
      <c r="E185" s="5" t="str">
        <f ca="1">IF(ISTEXT(C185),IF(D185=INDIRECT("Equations!$B$" &amp; 'Code per Equation'!$G$4+1),"",SEARCH(D185,INDIRECT("Equations!$C$" &amp; 'Code per Equation'!$G$4+1))),"")</f>
        <v/>
      </c>
      <c r="F185" s="8"/>
      <c r="G185" s="8"/>
      <c r="H185" s="8"/>
      <c r="I185" s="8"/>
      <c r="J185" s="3" t="str">
        <f t="shared" si="16"/>
        <v xml:space="preserve"> </v>
      </c>
      <c r="K185" s="3" t="str">
        <f t="shared" si="17"/>
        <v xml:space="preserve"> </v>
      </c>
      <c r="L185" s="3" t="str">
        <f t="shared" si="18"/>
        <v xml:space="preserve"> </v>
      </c>
      <c r="M185" s="3" t="str">
        <f t="shared" si="19"/>
        <v xml:space="preserve"> </v>
      </c>
    </row>
    <row r="186" spans="1:13">
      <c r="A186" s="8"/>
      <c r="B186" s="8"/>
      <c r="C186" s="8"/>
      <c r="D186" s="5" t="str">
        <f t="shared" si="15"/>
        <v xml:space="preserve"> </v>
      </c>
      <c r="E186" s="5" t="str">
        <f ca="1">IF(ISTEXT(C186),IF(D186=INDIRECT("Equations!$B$" &amp; 'Code per Equation'!$G$4+1),"",SEARCH(D186,INDIRECT("Equations!$C$" &amp; 'Code per Equation'!$G$4+1))),"")</f>
        <v/>
      </c>
      <c r="F186" s="8"/>
      <c r="G186" s="8"/>
      <c r="H186" s="8"/>
      <c r="I186" s="8"/>
      <c r="J186" s="3" t="str">
        <f t="shared" si="16"/>
        <v xml:space="preserve"> </v>
      </c>
      <c r="K186" s="3" t="str">
        <f t="shared" si="17"/>
        <v xml:space="preserve"> </v>
      </c>
      <c r="L186" s="3" t="str">
        <f t="shared" si="18"/>
        <v xml:space="preserve"> </v>
      </c>
      <c r="M186" s="3" t="str">
        <f t="shared" si="19"/>
        <v xml:space="preserve"> </v>
      </c>
    </row>
    <row r="187" spans="1:13">
      <c r="A187" s="8"/>
      <c r="B187" s="8"/>
      <c r="C187" s="8"/>
      <c r="D187" s="5" t="str">
        <f t="shared" si="15"/>
        <v xml:space="preserve"> </v>
      </c>
      <c r="E187" s="5" t="str">
        <f ca="1">IF(ISTEXT(C187),IF(D187=INDIRECT("Equations!$B$" &amp; 'Code per Equation'!$G$4+1),"",SEARCH(D187,INDIRECT("Equations!$C$" &amp; 'Code per Equation'!$G$4+1))),"")</f>
        <v/>
      </c>
      <c r="F187" s="8"/>
      <c r="G187" s="8"/>
      <c r="H187" s="8"/>
      <c r="I187" s="8"/>
      <c r="J187" s="3" t="str">
        <f t="shared" si="16"/>
        <v xml:space="preserve"> </v>
      </c>
      <c r="K187" s="3" t="str">
        <f t="shared" si="17"/>
        <v xml:space="preserve"> </v>
      </c>
      <c r="L187" s="3" t="str">
        <f t="shared" si="18"/>
        <v xml:space="preserve"> </v>
      </c>
      <c r="M187" s="3" t="str">
        <f t="shared" si="19"/>
        <v xml:space="preserve"> </v>
      </c>
    </row>
    <row r="188" spans="1:13">
      <c r="A188" s="8"/>
      <c r="B188" s="8"/>
      <c r="C188" s="8"/>
      <c r="D188" s="5" t="str">
        <f t="shared" si="15"/>
        <v xml:space="preserve"> </v>
      </c>
      <c r="E188" s="5" t="str">
        <f ca="1">IF(ISTEXT(C188),IF(D188=INDIRECT("Equations!$B$" &amp; 'Code per Equation'!$G$4+1),"",SEARCH(D188,INDIRECT("Equations!$C$" &amp; 'Code per Equation'!$G$4+1))),"")</f>
        <v/>
      </c>
      <c r="F188" s="8"/>
      <c r="G188" s="8"/>
      <c r="H188" s="8"/>
      <c r="I188" s="8"/>
      <c r="J188" s="3" t="str">
        <f t="shared" si="16"/>
        <v xml:space="preserve"> </v>
      </c>
      <c r="K188" s="3" t="str">
        <f t="shared" si="17"/>
        <v xml:space="preserve"> </v>
      </c>
      <c r="L188" s="3" t="str">
        <f t="shared" si="18"/>
        <v xml:space="preserve"> </v>
      </c>
      <c r="M188" s="3" t="str">
        <f t="shared" si="19"/>
        <v xml:space="preserve"> </v>
      </c>
    </row>
    <row r="189" spans="1:13">
      <c r="A189" s="8"/>
      <c r="B189" s="8"/>
      <c r="C189" s="8"/>
      <c r="D189" s="5" t="str">
        <f t="shared" si="15"/>
        <v xml:space="preserve"> </v>
      </c>
      <c r="E189" s="5" t="str">
        <f ca="1">IF(ISTEXT(C189),IF(D189=INDIRECT("Equations!$B$" &amp; 'Code per Equation'!$G$4+1),"",SEARCH(D189,INDIRECT("Equations!$C$" &amp; 'Code per Equation'!$G$4+1))),"")</f>
        <v/>
      </c>
      <c r="F189" s="8"/>
      <c r="G189" s="8"/>
      <c r="H189" s="8"/>
      <c r="I189" s="8"/>
      <c r="J189" s="3" t="str">
        <f t="shared" si="16"/>
        <v xml:space="preserve"> </v>
      </c>
      <c r="K189" s="3" t="str">
        <f t="shared" si="17"/>
        <v xml:space="preserve"> </v>
      </c>
      <c r="L189" s="3" t="str">
        <f t="shared" si="18"/>
        <v xml:space="preserve"> </v>
      </c>
      <c r="M189" s="3" t="str">
        <f t="shared" si="19"/>
        <v xml:space="preserve"> </v>
      </c>
    </row>
    <row r="190" spans="1:13">
      <c r="A190" s="8"/>
      <c r="B190" s="8"/>
      <c r="C190" s="8"/>
      <c r="D190" s="5" t="str">
        <f t="shared" si="15"/>
        <v xml:space="preserve"> </v>
      </c>
      <c r="E190" s="5" t="str">
        <f ca="1">IF(ISTEXT(C190),IF(D190=INDIRECT("Equations!$B$" &amp; 'Code per Equation'!$G$4+1),"",SEARCH(D190,INDIRECT("Equations!$C$" &amp; 'Code per Equation'!$G$4+1))),"")</f>
        <v/>
      </c>
      <c r="F190" s="8"/>
      <c r="G190" s="8"/>
      <c r="H190" s="8"/>
      <c r="I190" s="8"/>
      <c r="J190" s="3" t="str">
        <f t="shared" si="16"/>
        <v xml:space="preserve"> </v>
      </c>
      <c r="K190" s="3" t="str">
        <f t="shared" si="17"/>
        <v xml:space="preserve"> </v>
      </c>
      <c r="L190" s="3" t="str">
        <f t="shared" si="18"/>
        <v xml:space="preserve"> </v>
      </c>
      <c r="M190" s="3" t="str">
        <f t="shared" si="19"/>
        <v xml:space="preserve"> </v>
      </c>
    </row>
    <row r="191" spans="1:13">
      <c r="A191" s="8"/>
      <c r="B191" s="8"/>
      <c r="C191" s="8"/>
      <c r="D191" s="5" t="str">
        <f t="shared" si="15"/>
        <v xml:space="preserve"> </v>
      </c>
      <c r="E191" s="5" t="str">
        <f ca="1">IF(ISTEXT(C191),IF(D191=INDIRECT("Equations!$B$" &amp; 'Code per Equation'!$G$4+1),"",SEARCH(D191,INDIRECT("Equations!$C$" &amp; 'Code per Equation'!$G$4+1))),"")</f>
        <v/>
      </c>
      <c r="F191" s="8"/>
      <c r="G191" s="8"/>
      <c r="H191" s="8"/>
      <c r="I191" s="8"/>
      <c r="J191" s="3" t="str">
        <f t="shared" si="16"/>
        <v xml:space="preserve"> </v>
      </c>
      <c r="K191" s="3" t="str">
        <f t="shared" si="17"/>
        <v xml:space="preserve"> </v>
      </c>
      <c r="L191" s="3" t="str">
        <f t="shared" si="18"/>
        <v xml:space="preserve"> </v>
      </c>
      <c r="M191" s="3" t="str">
        <f t="shared" si="19"/>
        <v xml:space="preserve"> </v>
      </c>
    </row>
    <row r="192" spans="1:13">
      <c r="A192" s="8"/>
      <c r="B192" s="8"/>
      <c r="C192" s="8"/>
      <c r="D192" s="5" t="str">
        <f t="shared" si="15"/>
        <v xml:space="preserve"> </v>
      </c>
      <c r="E192" s="5" t="str">
        <f ca="1">IF(ISTEXT(C192),IF(D192=INDIRECT("Equations!$B$" &amp; 'Code per Equation'!$G$4+1),"",SEARCH(D192,INDIRECT("Equations!$C$" &amp; 'Code per Equation'!$G$4+1))),"")</f>
        <v/>
      </c>
      <c r="F192" s="8"/>
      <c r="G192" s="8"/>
      <c r="H192" s="8"/>
      <c r="I192" s="8"/>
      <c r="J192" s="3" t="str">
        <f t="shared" si="16"/>
        <v xml:space="preserve"> </v>
      </c>
      <c r="K192" s="3" t="str">
        <f t="shared" si="17"/>
        <v xml:space="preserve"> </v>
      </c>
      <c r="L192" s="3" t="str">
        <f t="shared" si="18"/>
        <v xml:space="preserve"> </v>
      </c>
      <c r="M192" s="3" t="str">
        <f t="shared" si="19"/>
        <v xml:space="preserve"> </v>
      </c>
    </row>
    <row r="193" spans="1:13">
      <c r="A193" s="8"/>
      <c r="B193" s="8"/>
      <c r="C193" s="8"/>
      <c r="D193" s="5" t="str">
        <f t="shared" si="15"/>
        <v xml:space="preserve"> </v>
      </c>
      <c r="E193" s="5" t="str">
        <f ca="1">IF(ISTEXT(C193),IF(D193=INDIRECT("Equations!$B$" &amp; 'Code per Equation'!$G$4+1),"",SEARCH(D193,INDIRECT("Equations!$C$" &amp; 'Code per Equation'!$G$4+1))),"")</f>
        <v/>
      </c>
      <c r="F193" s="8"/>
      <c r="G193" s="8"/>
      <c r="H193" s="8"/>
      <c r="I193" s="8"/>
      <c r="J193" s="3" t="str">
        <f t="shared" si="16"/>
        <v xml:space="preserve"> </v>
      </c>
      <c r="K193" s="3" t="str">
        <f t="shared" si="17"/>
        <v xml:space="preserve"> </v>
      </c>
      <c r="L193" s="3" t="str">
        <f t="shared" si="18"/>
        <v xml:space="preserve"> </v>
      </c>
      <c r="M193" s="3" t="str">
        <f t="shared" si="19"/>
        <v xml:space="preserve"> </v>
      </c>
    </row>
    <row r="194" spans="1:13">
      <c r="A194" s="8"/>
      <c r="B194" s="8"/>
      <c r="C194" s="8"/>
      <c r="D194" s="5" t="str">
        <f t="shared" si="15"/>
        <v xml:space="preserve"> </v>
      </c>
      <c r="E194" s="5" t="str">
        <f ca="1">IF(ISTEXT(C194),IF(D194=INDIRECT("Equations!$B$" &amp; 'Code per Equation'!$G$4+1),"",SEARCH(D194,INDIRECT("Equations!$C$" &amp; 'Code per Equation'!$G$4+1))),"")</f>
        <v/>
      </c>
      <c r="F194" s="8"/>
      <c r="G194" s="8"/>
      <c r="H194" s="8"/>
      <c r="I194" s="8"/>
      <c r="J194" s="3" t="str">
        <f t="shared" si="16"/>
        <v xml:space="preserve"> </v>
      </c>
      <c r="K194" s="3" t="str">
        <f t="shared" si="17"/>
        <v xml:space="preserve"> </v>
      </c>
      <c r="L194" s="3" t="str">
        <f t="shared" si="18"/>
        <v xml:space="preserve"> </v>
      </c>
      <c r="M194" s="3" t="str">
        <f t="shared" si="19"/>
        <v xml:space="preserve"> </v>
      </c>
    </row>
    <row r="195" spans="1:13">
      <c r="A195" s="8"/>
      <c r="B195" s="8"/>
      <c r="C195" s="8"/>
      <c r="D195" s="5" t="str">
        <f t="shared" si="15"/>
        <v xml:space="preserve"> </v>
      </c>
      <c r="E195" s="5" t="str">
        <f ca="1">IF(ISTEXT(C195),IF(D195=INDIRECT("Equations!$B$" &amp; 'Code per Equation'!$G$4+1),"",SEARCH(D195,INDIRECT("Equations!$C$" &amp; 'Code per Equation'!$G$4+1))),"")</f>
        <v/>
      </c>
      <c r="F195" s="8"/>
      <c r="G195" s="8"/>
      <c r="H195" s="8"/>
      <c r="I195" s="8"/>
      <c r="J195" s="3" t="str">
        <f t="shared" si="16"/>
        <v xml:space="preserve"> </v>
      </c>
      <c r="K195" s="3" t="str">
        <f t="shared" si="17"/>
        <v xml:space="preserve"> </v>
      </c>
      <c r="L195" s="3" t="str">
        <f t="shared" si="18"/>
        <v xml:space="preserve"> </v>
      </c>
      <c r="M195" s="3" t="str">
        <f t="shared" si="19"/>
        <v xml:space="preserve"> </v>
      </c>
    </row>
    <row r="196" spans="1:13">
      <c r="A196" s="8"/>
      <c r="B196" s="8"/>
      <c r="C196" s="8"/>
      <c r="D196" s="5" t="str">
        <f t="shared" si="15"/>
        <v xml:space="preserve"> </v>
      </c>
      <c r="E196" s="5" t="str">
        <f ca="1">IF(ISTEXT(C196),IF(D196=INDIRECT("Equations!$B$" &amp; 'Code per Equation'!$G$4+1),"",SEARCH(D196,INDIRECT("Equations!$C$" &amp; 'Code per Equation'!$G$4+1))),"")</f>
        <v/>
      </c>
      <c r="F196" s="8"/>
      <c r="G196" s="8"/>
      <c r="H196" s="8"/>
      <c r="I196" s="8"/>
      <c r="J196" s="3" t="str">
        <f t="shared" si="16"/>
        <v xml:space="preserve"> </v>
      </c>
      <c r="K196" s="3" t="str">
        <f t="shared" si="17"/>
        <v xml:space="preserve"> </v>
      </c>
      <c r="L196" s="3" t="str">
        <f t="shared" si="18"/>
        <v xml:space="preserve"> </v>
      </c>
      <c r="M196" s="3" t="str">
        <f t="shared" si="19"/>
        <v xml:space="preserve"> </v>
      </c>
    </row>
    <row r="197" spans="1:13">
      <c r="A197" s="8"/>
      <c r="B197" s="8"/>
      <c r="C197" s="8"/>
      <c r="D197" s="5" t="str">
        <f t="shared" si="15"/>
        <v xml:space="preserve"> </v>
      </c>
      <c r="E197" s="5" t="str">
        <f ca="1">IF(ISTEXT(C197),IF(D197=INDIRECT("Equations!$B$" &amp; 'Code per Equation'!$G$4+1),"",SEARCH(D197,INDIRECT("Equations!$C$" &amp; 'Code per Equation'!$G$4+1))),"")</f>
        <v/>
      </c>
      <c r="F197" s="8"/>
      <c r="G197" s="8"/>
      <c r="H197" s="8"/>
      <c r="I197" s="8"/>
      <c r="J197" s="3" t="str">
        <f t="shared" si="16"/>
        <v xml:space="preserve"> </v>
      </c>
      <c r="K197" s="3" t="str">
        <f t="shared" si="17"/>
        <v xml:space="preserve"> </v>
      </c>
      <c r="L197" s="3" t="str">
        <f t="shared" si="18"/>
        <v xml:space="preserve"> </v>
      </c>
      <c r="M197" s="3" t="str">
        <f t="shared" si="19"/>
        <v xml:space="preserve"> </v>
      </c>
    </row>
    <row r="198" spans="1:13">
      <c r="A198" s="8"/>
      <c r="B198" s="8"/>
      <c r="C198" s="8"/>
      <c r="D198" s="5" t="str">
        <f t="shared" si="15"/>
        <v xml:space="preserve"> </v>
      </c>
      <c r="E198" s="5" t="str">
        <f ca="1">IF(ISTEXT(C198),IF(D198=INDIRECT("Equations!$B$" &amp; 'Code per Equation'!$G$4+1),"",SEARCH(D198,INDIRECT("Equations!$C$" &amp; 'Code per Equation'!$G$4+1))),"")</f>
        <v/>
      </c>
      <c r="F198" s="8"/>
      <c r="G198" s="8"/>
      <c r="H198" s="8"/>
      <c r="I198" s="8"/>
      <c r="J198" s="3" t="str">
        <f t="shared" si="16"/>
        <v xml:space="preserve"> </v>
      </c>
      <c r="K198" s="3" t="str">
        <f t="shared" si="17"/>
        <v xml:space="preserve"> </v>
      </c>
      <c r="L198" s="3" t="str">
        <f t="shared" si="18"/>
        <v xml:space="preserve"> </v>
      </c>
      <c r="M198" s="3" t="str">
        <f t="shared" si="19"/>
        <v xml:space="preserve"> </v>
      </c>
    </row>
    <row r="199" spans="1:13">
      <c r="A199" s="8"/>
      <c r="B199" s="8"/>
      <c r="C199" s="8"/>
      <c r="D199" s="5" t="str">
        <f t="shared" si="15"/>
        <v xml:space="preserve"> </v>
      </c>
      <c r="E199" s="5" t="str">
        <f ca="1">IF(ISTEXT(C199),IF(D199=INDIRECT("Equations!$B$" &amp; 'Code per Equation'!$G$4+1),"",SEARCH(D199,INDIRECT("Equations!$C$" &amp; 'Code per Equation'!$G$4+1))),"")</f>
        <v/>
      </c>
      <c r="F199" s="8"/>
      <c r="G199" s="8"/>
      <c r="H199" s="8"/>
      <c r="I199" s="8"/>
      <c r="J199" s="3" t="str">
        <f t="shared" si="16"/>
        <v xml:space="preserve"> </v>
      </c>
      <c r="K199" s="3" t="str">
        <f t="shared" si="17"/>
        <v xml:space="preserve"> </v>
      </c>
      <c r="L199" s="3" t="str">
        <f t="shared" si="18"/>
        <v xml:space="preserve"> </v>
      </c>
      <c r="M199" s="3" t="str">
        <f t="shared" si="19"/>
        <v xml:space="preserve"> </v>
      </c>
    </row>
    <row r="200" spans="1:13">
      <c r="A200" s="8"/>
      <c r="B200" s="8"/>
      <c r="C200" s="8"/>
      <c r="D200" s="5" t="str">
        <f t="shared" si="15"/>
        <v xml:space="preserve"> </v>
      </c>
      <c r="E200" s="5" t="str">
        <f ca="1">IF(ISTEXT(C200),IF(D200=INDIRECT("Equations!$B$" &amp; 'Code per Equation'!$G$4+1),"",SEARCH(D200,INDIRECT("Equations!$C$" &amp; 'Code per Equation'!$G$4+1))),"")</f>
        <v/>
      </c>
      <c r="F200" s="8"/>
      <c r="G200" s="8"/>
      <c r="H200" s="8"/>
      <c r="I200" s="8"/>
      <c r="J200" s="3" t="str">
        <f t="shared" si="16"/>
        <v xml:space="preserve"> </v>
      </c>
      <c r="K200" s="3" t="str">
        <f t="shared" si="17"/>
        <v xml:space="preserve"> </v>
      </c>
      <c r="L200" s="3" t="str">
        <f t="shared" si="18"/>
        <v xml:space="preserve"> </v>
      </c>
      <c r="M200" s="3" t="str">
        <f t="shared" si="19"/>
        <v xml:space="preserve"> </v>
      </c>
    </row>
    <row r="201" spans="1:13" s="2" customFormat="1">
      <c r="A201" s="8"/>
      <c r="B201" s="8"/>
      <c r="C201" s="8"/>
      <c r="D201" s="5" t="str">
        <f t="shared" si="15"/>
        <v xml:space="preserve"> </v>
      </c>
      <c r="E201" s="5" t="str">
        <f ca="1">IF(ISTEXT(C201),IF(D201=INDIRECT("Equations!$B$" &amp; 'Code per Equation'!$G$4+1),"",SEARCH(D201,INDIRECT("Equations!$C$" &amp; 'Code per Equation'!$G$4+1))),"")</f>
        <v/>
      </c>
      <c r="F201" s="8"/>
      <c r="G201" s="8"/>
      <c r="H201" s="8"/>
      <c r="I201" s="8"/>
      <c r="J201" s="3" t="str">
        <f t="shared" si="16"/>
        <v xml:space="preserve"> </v>
      </c>
      <c r="K201" s="3" t="str">
        <f t="shared" si="17"/>
        <v xml:space="preserve"> </v>
      </c>
      <c r="L201" s="3" t="str">
        <f t="shared" si="18"/>
        <v xml:space="preserve"> </v>
      </c>
      <c r="M201" s="3" t="str">
        <f t="shared" si="19"/>
        <v xml:space="preserve"> </v>
      </c>
    </row>
    <row r="202" spans="1:13">
      <c r="A202" s="9" t="s">
        <v>130</v>
      </c>
      <c r="B202" s="9"/>
    </row>
  </sheetData>
  <sheetProtection sheet="1" sort="0" autoFilter="0"/>
  <sortState ref="A2:M202">
    <sortCondition ref="B2"/>
  </sortState>
  <pageMargins left="0.7" right="0.7" top="0.75" bottom="0.75" header="0.3" footer="0.3"/>
  <pageSetup paperSize="9" orientation="landscape"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A9BC4-1B47-5E47-A1F1-00FD804B4DC4}">
  <sheetPr codeName="Blad3"/>
  <dimension ref="A1:V251"/>
  <sheetViews>
    <sheetView workbookViewId="0">
      <selection activeCell="D4" sqref="D4"/>
    </sheetView>
  </sheetViews>
  <sheetFormatPr baseColWidth="10" defaultRowHeight="16"/>
  <cols>
    <col min="1" max="1" width="4.6640625" style="3" customWidth="1"/>
    <col min="2" max="2" width="13.83203125" customWidth="1"/>
    <col min="3" max="3" width="74.5" customWidth="1"/>
    <col min="4" max="4" width="88.5" style="45" customWidth="1"/>
    <col min="5" max="5" width="66.6640625" style="47" customWidth="1"/>
    <col min="6" max="17" width="10.83203125" style="47"/>
    <col min="18" max="22" width="10.83203125" style="16"/>
  </cols>
  <sheetData>
    <row r="1" spans="1:5" ht="68">
      <c r="A1" s="14" t="s">
        <v>112</v>
      </c>
      <c r="B1" s="11" t="s">
        <v>40</v>
      </c>
      <c r="C1" s="51" t="s">
        <v>128</v>
      </c>
      <c r="D1" s="49" t="s">
        <v>135</v>
      </c>
      <c r="E1" s="52" t="s">
        <v>137</v>
      </c>
    </row>
    <row r="2" spans="1:5" ht="172" customHeight="1">
      <c r="A2" s="36">
        <v>1</v>
      </c>
      <c r="B2" s="30" t="s">
        <v>42</v>
      </c>
      <c r="C2" s="31" t="s">
        <v>129</v>
      </c>
      <c r="D2" s="46" t="str">
        <f ca="1">IF(ISBLANK(C2)," ",CONCATENATE(Equations!$C2,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\text{Re}=\frac{{\rho_\ell}{u}{L}}{\mu}\equationunit{[\si{\nodimension}]} 
\end{equation}_x000D_
\begin{definitions}_x000D_
g &amp; \Eg \\_x000D_
L &amp; \EL \\_x000D_
\mu &amp; \Emu \\_x000D_
\rho_b &amp; \Erhobody \\_x000D_
\rho_\ell &amp; \Erholiquid \\_x000D_
\end{definitions}</v>
      </c>
    </row>
    <row r="3" spans="1:5" ht="199" customHeight="1">
      <c r="A3" s="36">
        <v>2</v>
      </c>
      <c r="B3" s="30" t="s">
        <v>48</v>
      </c>
      <c r="C3" s="31" t="s">
        <v>122</v>
      </c>
      <c r="D3" s="46" t="str">
        <f ca="1">IF(ISBLANK(C3)," ",CONCATENATE(Equations!$C3,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row>
    <row r="4" spans="1:5" ht="17">
      <c r="A4" s="36">
        <v>3</v>
      </c>
      <c r="B4" s="30"/>
      <c r="C4" s="31"/>
      <c r="D4" s="46" t="str">
        <f>IF(ISBLANK(C4)," ",CONCATENATE(Equations!$C4,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 spans="1:5" ht="17">
      <c r="A5" s="36">
        <v>4</v>
      </c>
      <c r="B5" s="30"/>
      <c r="C5" s="31"/>
      <c r="D5" s="46" t="str">
        <f>IF(ISBLANK(C5)," ",CONCATENATE(Equations!$C5,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 spans="1:5" ht="16" customHeight="1">
      <c r="A6" s="36">
        <v>5</v>
      </c>
      <c r="B6" s="30"/>
      <c r="C6" s="31"/>
      <c r="D6" s="46" t="str">
        <f>IF(ISBLANK(C6)," ",CONCATENATE(Equations!$C6,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 spans="1:5" ht="17">
      <c r="A7" s="36">
        <v>6</v>
      </c>
      <c r="B7" s="30"/>
      <c r="C7" s="31"/>
      <c r="D7" s="46" t="str">
        <f>IF(ISBLANK(C7)," ",CONCATENATE(Equations!$C7,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 spans="1:5" ht="17">
      <c r="A8" s="36">
        <v>7</v>
      </c>
      <c r="B8" s="30"/>
      <c r="C8" s="31"/>
      <c r="D8" s="46" t="str">
        <f>IF(ISBLANK(C8)," ",CONCATENATE(Equations!$C8,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 spans="1:5" ht="17">
      <c r="A9" s="36">
        <v>8</v>
      </c>
      <c r="B9" s="30"/>
      <c r="C9" s="31"/>
      <c r="D9" s="46" t="str">
        <f>IF(ISBLANK(C9)," ",CONCATENATE(Equations!$C9,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 spans="1:5" ht="17">
      <c r="A10" s="36">
        <v>9</v>
      </c>
      <c r="B10" s="30"/>
      <c r="C10" s="31"/>
      <c r="D10" s="46" t="str">
        <f>IF(ISBLANK(C10)," ",CONCATENATE(Equations!$C10,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 spans="1:5" ht="17">
      <c r="A11" s="36">
        <v>10</v>
      </c>
      <c r="B11" s="30"/>
      <c r="C11" s="31"/>
      <c r="D11" s="46" t="str">
        <f>IF(ISBLANK(C11)," ",CONCATENATE(Equations!$C11,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 spans="1:5" ht="17">
      <c r="A12" s="36">
        <v>11</v>
      </c>
      <c r="B12" s="30"/>
      <c r="C12" s="31"/>
      <c r="D12" s="46" t="str">
        <f>IF(ISBLANK(C12)," ",CONCATENATE(Equations!$C12,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 spans="1:5" ht="17">
      <c r="A13" s="36">
        <v>12</v>
      </c>
      <c r="B13" s="30"/>
      <c r="C13" s="31"/>
      <c r="D13" s="46" t="str">
        <f>IF(ISBLANK(C13)," ",CONCATENATE(Equations!$C13,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 spans="1:5" ht="17">
      <c r="A14" s="36">
        <v>13</v>
      </c>
      <c r="B14" s="30"/>
      <c r="C14" s="31"/>
      <c r="D14" s="46" t="str">
        <f>IF(ISBLANK(C14)," ",CONCATENATE(Equations!$C14,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 spans="1:5" ht="17">
      <c r="A15" s="36">
        <v>14</v>
      </c>
      <c r="B15" s="30"/>
      <c r="C15" s="31"/>
      <c r="D15" s="46" t="str">
        <f>IF(ISBLANK(C15)," ",CONCATENATE(Equations!$C15,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 spans="1:5" ht="17">
      <c r="A16" s="36">
        <v>15</v>
      </c>
      <c r="B16" s="30"/>
      <c r="C16" s="31"/>
      <c r="D16" s="46" t="str">
        <f>IF(ISBLANK(C16)," ",CONCATENATE(Equations!$C16,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 spans="1:4" ht="17">
      <c r="A17" s="36">
        <v>16</v>
      </c>
      <c r="B17" s="30"/>
      <c r="C17" s="31"/>
      <c r="D17" s="46" t="str">
        <f>IF(ISBLANK(C17)," ",CONCATENATE(Equations!$C17,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 spans="1:4" ht="17">
      <c r="A18" s="36">
        <v>17</v>
      </c>
      <c r="B18" s="30"/>
      <c r="C18" s="31"/>
      <c r="D18" s="46" t="str">
        <f>IF(ISBLANK(C18)," ",CONCATENATE(Equations!$C18,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 spans="1:4" ht="17">
      <c r="A19" s="36">
        <v>18</v>
      </c>
      <c r="B19" s="30"/>
      <c r="C19" s="31"/>
      <c r="D19" s="46" t="str">
        <f>IF(ISBLANK(C19)," ",CONCATENATE(Equations!$C19,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 spans="1:4" ht="17">
      <c r="A20" s="36">
        <v>19</v>
      </c>
      <c r="B20" s="30"/>
      <c r="C20" s="31"/>
      <c r="D20" s="46" t="str">
        <f>IF(ISBLANK(C20)," ",CONCATENATE(Equations!$C20,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 spans="1:4" ht="17">
      <c r="A21" s="36">
        <v>20</v>
      </c>
      <c r="B21" s="30"/>
      <c r="C21" s="31"/>
      <c r="D21" s="46" t="str">
        <f>IF(ISBLANK(C21)," ",CONCATENATE(Equations!$C21,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 spans="1:4" ht="17">
      <c r="A22" s="36">
        <v>21</v>
      </c>
      <c r="B22" s="30"/>
      <c r="C22" s="31"/>
      <c r="D22" s="46" t="str">
        <f>IF(ISBLANK(C22)," ",CONCATENATE(Equations!$C22,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 spans="1:4" ht="17">
      <c r="A23" s="36">
        <v>22</v>
      </c>
      <c r="B23" s="30"/>
      <c r="C23" s="31"/>
      <c r="D23" s="46" t="str">
        <f>IF(ISBLANK(C23)," ",CONCATENATE(Equations!$C23,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 spans="1:4" ht="17">
      <c r="A24" s="36">
        <v>23</v>
      </c>
      <c r="B24" s="30"/>
      <c r="C24" s="31"/>
      <c r="D24" s="46" t="str">
        <f>IF(ISBLANK(C24)," ",CONCATENATE(Equations!$C24,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 spans="1:4" ht="17">
      <c r="A25" s="36">
        <v>24</v>
      </c>
      <c r="B25" s="30"/>
      <c r="C25" s="31"/>
      <c r="D25" s="46" t="str">
        <f>IF(ISBLANK(C25)," ",CONCATENATE(Equations!$C25,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6" spans="1:4" ht="17">
      <c r="A26" s="36">
        <v>25</v>
      </c>
      <c r="B26" s="30"/>
      <c r="C26" s="31"/>
      <c r="D26" s="46" t="str">
        <f>IF(ISBLANK(C26)," ",CONCATENATE(Equations!$C26,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7" spans="1:4" ht="17">
      <c r="A27" s="36">
        <v>26</v>
      </c>
      <c r="B27" s="30"/>
      <c r="C27" s="31"/>
      <c r="D27" s="46" t="str">
        <f>IF(ISBLANK(C27)," ",CONCATENATE(Equations!$C27,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8" spans="1:4" ht="17">
      <c r="A28" s="36">
        <v>27</v>
      </c>
      <c r="B28" s="30"/>
      <c r="C28" s="31"/>
      <c r="D28" s="46" t="str">
        <f>IF(ISBLANK(C28)," ",CONCATENATE(Equations!$C28,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9" spans="1:4" ht="17">
      <c r="A29" s="36">
        <v>28</v>
      </c>
      <c r="B29" s="30"/>
      <c r="C29" s="31"/>
      <c r="D29" s="46" t="str">
        <f>IF(ISBLANK(C29)," ",CONCATENATE(Equations!$C29,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0" spans="1:4" ht="17">
      <c r="A30" s="36">
        <v>29</v>
      </c>
      <c r="B30" s="30"/>
      <c r="C30" s="31"/>
      <c r="D30" s="46" t="str">
        <f>IF(ISBLANK(C30)," ",CONCATENATE(Equations!$C30,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1" spans="1:4" ht="17">
      <c r="A31" s="36">
        <v>30</v>
      </c>
      <c r="B31" s="30"/>
      <c r="C31" s="31"/>
      <c r="D31" s="46" t="str">
        <f>IF(ISBLANK(C31)," ",CONCATENATE(Equations!$C31,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2" spans="1:4" ht="17">
      <c r="A32" s="36">
        <v>31</v>
      </c>
      <c r="B32" s="30"/>
      <c r="C32" s="31"/>
      <c r="D32" s="46" t="str">
        <f>IF(ISBLANK(C32)," ",CONCATENATE(Equations!$C32,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3" spans="1:4" ht="17">
      <c r="A33" s="36">
        <v>32</v>
      </c>
      <c r="B33" s="30"/>
      <c r="C33" s="31"/>
      <c r="D33" s="46" t="str">
        <f>IF(ISBLANK(C33)," ",CONCATENATE(Equations!$C33,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4" spans="1:4" ht="17">
      <c r="A34" s="36">
        <v>33</v>
      </c>
      <c r="B34" s="30"/>
      <c r="C34" s="31"/>
      <c r="D34" s="46" t="str">
        <f>IF(ISBLANK(C34)," ",CONCATENATE(Equations!$C34,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5" spans="1:4" ht="17">
      <c r="A35" s="36">
        <v>34</v>
      </c>
      <c r="B35" s="30"/>
      <c r="C35" s="31"/>
      <c r="D35" s="46" t="str">
        <f>IF(ISBLANK(C35)," ",CONCATENATE(Equations!$C35,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6" spans="1:4" ht="17">
      <c r="A36" s="36">
        <v>35</v>
      </c>
      <c r="B36" s="30"/>
      <c r="C36" s="31"/>
      <c r="D36" s="46" t="str">
        <f>IF(ISBLANK(C36)," ",CONCATENATE(Equations!$C36,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7" spans="1:4" ht="17">
      <c r="A37" s="36">
        <v>36</v>
      </c>
      <c r="B37" s="30"/>
      <c r="C37" s="31"/>
      <c r="D37" s="46" t="str">
        <f>IF(ISBLANK(C37)," ",CONCATENATE(Equations!$C37,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8" spans="1:4" ht="17">
      <c r="A38" s="36">
        <v>37</v>
      </c>
      <c r="B38" s="30"/>
      <c r="C38" s="31"/>
      <c r="D38" s="46" t="str">
        <f>IF(ISBLANK(C38)," ",CONCATENATE(Equations!$C38,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39" spans="1:4" ht="17">
      <c r="A39" s="36">
        <v>38</v>
      </c>
      <c r="B39" s="30"/>
      <c r="C39" s="31"/>
      <c r="D39" s="46" t="str">
        <f>IF(ISBLANK(C39)," ",CONCATENATE(Equations!$C39,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0" spans="1:4" ht="17">
      <c r="A40" s="36">
        <v>39</v>
      </c>
      <c r="B40" s="30"/>
      <c r="C40" s="31"/>
      <c r="D40" s="46" t="str">
        <f>IF(ISBLANK(C40)," ",CONCATENATE(Equations!$C40,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1" spans="1:4" ht="17">
      <c r="A41" s="36">
        <v>40</v>
      </c>
      <c r="B41" s="30"/>
      <c r="C41" s="31"/>
      <c r="D41" s="46" t="str">
        <f>IF(ISBLANK(C41)," ",CONCATENATE(Equations!$C41,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2" spans="1:4" ht="17">
      <c r="A42" s="36">
        <v>41</v>
      </c>
      <c r="B42" s="30"/>
      <c r="C42" s="31"/>
      <c r="D42" s="46" t="str">
        <f>IF(ISBLANK(C42)," ",CONCATENATE(Equations!$C42,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3" spans="1:4" ht="17">
      <c r="A43" s="36">
        <v>42</v>
      </c>
      <c r="B43" s="30"/>
      <c r="C43" s="31"/>
      <c r="D43" s="46" t="str">
        <f>IF(ISBLANK(C43)," ",CONCATENATE(Equations!$C43,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4" spans="1:4" ht="17">
      <c r="A44" s="36">
        <v>43</v>
      </c>
      <c r="B44" s="30"/>
      <c r="C44" s="31"/>
      <c r="D44" s="46" t="str">
        <f>IF(ISBLANK(C44)," ",CONCATENATE(Equations!$C44,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5" spans="1:4" ht="17">
      <c r="A45" s="36">
        <v>44</v>
      </c>
      <c r="B45" s="30"/>
      <c r="C45" s="31"/>
      <c r="D45" s="46" t="str">
        <f>IF(ISBLANK(C45)," ",CONCATENATE(Equations!$C45,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6" spans="1:4" ht="17">
      <c r="A46" s="36">
        <v>45</v>
      </c>
      <c r="B46" s="30"/>
      <c r="C46" s="31"/>
      <c r="D46" s="46" t="str">
        <f>IF(ISBLANK(C46)," ",CONCATENATE(Equations!$C46,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7" spans="1:4" ht="17">
      <c r="A47" s="36">
        <v>46</v>
      </c>
      <c r="B47" s="30"/>
      <c r="C47" s="31"/>
      <c r="D47" s="46" t="str">
        <f>IF(ISBLANK(C47)," ",CONCATENATE(Equations!$C47,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8" spans="1:4" ht="17">
      <c r="A48" s="36">
        <v>47</v>
      </c>
      <c r="B48" s="30"/>
      <c r="C48" s="31"/>
      <c r="D48" s="46" t="str">
        <f>IF(ISBLANK(C48)," ",CONCATENATE(Equations!$C48,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49" spans="1:4" ht="17">
      <c r="A49" s="36">
        <v>48</v>
      </c>
      <c r="B49" s="30"/>
      <c r="C49" s="31"/>
      <c r="D49" s="46" t="str">
        <f>IF(ISBLANK(C49)," ",CONCATENATE(Equations!$C49,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0" spans="1:4" ht="17">
      <c r="A50" s="36">
        <v>49</v>
      </c>
      <c r="B50" s="30"/>
      <c r="C50" s="31"/>
      <c r="D50" s="46" t="str">
        <f>IF(ISBLANK(C50)," ",CONCATENATE(Equations!$C50,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1" spans="1:4" ht="17">
      <c r="A51" s="36">
        <v>50</v>
      </c>
      <c r="B51" s="30"/>
      <c r="C51" s="31"/>
      <c r="D51" s="46" t="str">
        <f>IF(ISBLANK(C51)," ",CONCATENATE(Equations!$C51,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2" spans="1:4" ht="17">
      <c r="A52" s="36">
        <v>51</v>
      </c>
      <c r="B52" s="30"/>
      <c r="C52" s="31"/>
      <c r="D52" s="46" t="str">
        <f>IF(ISBLANK(C52)," ",CONCATENATE(Equations!$C52,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3" spans="1:4" ht="17">
      <c r="A53" s="36">
        <v>52</v>
      </c>
      <c r="B53" s="30"/>
      <c r="C53" s="31"/>
      <c r="D53" s="46" t="str">
        <f>IF(ISBLANK(C53)," ",CONCATENATE(Equations!$C53,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4" spans="1:4" ht="17">
      <c r="A54" s="36">
        <v>53</v>
      </c>
      <c r="B54" s="30"/>
      <c r="C54" s="31"/>
      <c r="D54" s="46" t="str">
        <f>IF(ISBLANK(C54)," ",CONCATENATE(Equations!$C54,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5" spans="1:4" ht="17">
      <c r="A55" s="36">
        <v>54</v>
      </c>
      <c r="B55" s="30"/>
      <c r="C55" s="31"/>
      <c r="D55" s="46" t="str">
        <f>IF(ISBLANK(C55)," ",CONCATENATE(Equations!$C55,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6" spans="1:4" ht="17">
      <c r="A56" s="36">
        <v>55</v>
      </c>
      <c r="B56" s="30"/>
      <c r="C56" s="31"/>
      <c r="D56" s="46" t="str">
        <f>IF(ISBLANK(C56)," ",CONCATENATE(Equations!$C56,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7" spans="1:4" ht="17">
      <c r="A57" s="36">
        <v>56</v>
      </c>
      <c r="B57" s="30"/>
      <c r="C57" s="31"/>
      <c r="D57" s="46" t="str">
        <f>IF(ISBLANK(C57)," ",CONCATENATE(Equations!$C57,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8" spans="1:4" ht="17">
      <c r="A58" s="36">
        <v>57</v>
      </c>
      <c r="B58" s="30"/>
      <c r="C58" s="31"/>
      <c r="D58" s="46" t="str">
        <f>IF(ISBLANK(C58)," ",CONCATENATE(Equations!$C58,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59" spans="1:4" ht="17">
      <c r="A59" s="36">
        <v>58</v>
      </c>
      <c r="B59" s="30"/>
      <c r="C59" s="31"/>
      <c r="D59" s="46" t="str">
        <f>IF(ISBLANK(C59)," ",CONCATENATE(Equations!$C59,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0" spans="1:4" ht="17">
      <c r="A60" s="36">
        <v>59</v>
      </c>
      <c r="B60" s="30"/>
      <c r="C60" s="31"/>
      <c r="D60" s="46" t="str">
        <f>IF(ISBLANK(C60)," ",CONCATENATE(Equations!$C60,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1" spans="1:4" ht="17">
      <c r="A61" s="36">
        <v>60</v>
      </c>
      <c r="B61" s="30"/>
      <c r="C61" s="31"/>
      <c r="D61" s="46" t="str">
        <f>IF(ISBLANK(C61)," ",CONCATENATE(Equations!$C61,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2" spans="1:4" ht="17">
      <c r="A62" s="36">
        <v>61</v>
      </c>
      <c r="B62" s="30"/>
      <c r="C62" s="31"/>
      <c r="D62" s="46" t="str">
        <f>IF(ISBLANK(C62)," ",CONCATENATE(Equations!$C62,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3" spans="1:4" ht="17">
      <c r="A63" s="36">
        <v>62</v>
      </c>
      <c r="B63" s="30"/>
      <c r="C63" s="31"/>
      <c r="D63" s="46" t="str">
        <f>IF(ISBLANK(C63)," ",CONCATENATE(Equations!$C63,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4" spans="1:4" ht="17">
      <c r="A64" s="36">
        <v>63</v>
      </c>
      <c r="B64" s="30"/>
      <c r="C64" s="31"/>
      <c r="D64" s="46" t="str">
        <f>IF(ISBLANK(C64)," ",CONCATENATE(Equations!$C64,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5" spans="1:4" ht="17">
      <c r="A65" s="36">
        <v>64</v>
      </c>
      <c r="B65" s="30"/>
      <c r="C65" s="31"/>
      <c r="D65" s="46" t="str">
        <f>IF(ISBLANK(C65)," ",CONCATENATE(Equations!$C65,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6" spans="1:4" ht="17">
      <c r="A66" s="36">
        <v>65</v>
      </c>
      <c r="B66" s="30"/>
      <c r="C66" s="31"/>
      <c r="D66" s="46" t="str">
        <f>IF(ISBLANK(C66)," ",CONCATENATE(Equations!$C66,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7" spans="1:4" ht="17">
      <c r="A67" s="36">
        <v>66</v>
      </c>
      <c r="B67" s="30"/>
      <c r="C67" s="31"/>
      <c r="D67" s="46" t="str">
        <f>IF(ISBLANK(C67)," ",CONCATENATE(Equations!$C67,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8" spans="1:4" ht="17">
      <c r="A68" s="36">
        <v>67</v>
      </c>
      <c r="B68" s="30"/>
      <c r="C68" s="31"/>
      <c r="D68" s="46" t="str">
        <f>IF(ISBLANK(C68)," ",CONCATENATE(Equations!$C68,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69" spans="1:4" ht="17">
      <c r="A69" s="36">
        <v>68</v>
      </c>
      <c r="B69" s="30"/>
      <c r="C69" s="31"/>
      <c r="D69" s="46" t="str">
        <f>IF(ISBLANK(C69)," ",CONCATENATE(Equations!$C69,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0" spans="1:4" ht="17">
      <c r="A70" s="36">
        <v>69</v>
      </c>
      <c r="B70" s="30"/>
      <c r="C70" s="31"/>
      <c r="D70" s="46" t="str">
        <f>IF(ISBLANK(C70)," ",CONCATENATE(Equations!$C70,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1" spans="1:4" ht="17">
      <c r="A71" s="36">
        <v>70</v>
      </c>
      <c r="B71" s="30"/>
      <c r="C71" s="31"/>
      <c r="D71" s="46" t="str">
        <f>IF(ISBLANK(C71)," ",CONCATENATE(Equations!$C71,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2" spans="1:4" ht="17">
      <c r="A72" s="36">
        <v>71</v>
      </c>
      <c r="B72" s="30"/>
      <c r="C72" s="31"/>
      <c r="D72" s="46" t="str">
        <f>IF(ISBLANK(C72)," ",CONCATENATE(Equations!$C72,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3" spans="1:4" ht="17">
      <c r="A73" s="36">
        <v>72</v>
      </c>
      <c r="B73" s="30"/>
      <c r="C73" s="31"/>
      <c r="D73" s="46" t="str">
        <f>IF(ISBLANK(C73)," ",CONCATENATE(Equations!$C73,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4" spans="1:4" ht="17">
      <c r="A74" s="36">
        <v>73</v>
      </c>
      <c r="B74" s="30"/>
      <c r="C74" s="31"/>
      <c r="D74" s="46" t="str">
        <f>IF(ISBLANK(C74)," ",CONCATENATE(Equations!$C74,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5" spans="1:4" ht="17">
      <c r="A75" s="36">
        <v>74</v>
      </c>
      <c r="B75" s="30"/>
      <c r="C75" s="31"/>
      <c r="D75" s="46" t="str">
        <f>IF(ISBLANK(C75)," ",CONCATENATE(Equations!$C75,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6" spans="1:4" ht="17">
      <c r="A76" s="36">
        <v>75</v>
      </c>
      <c r="B76" s="30"/>
      <c r="C76" s="31"/>
      <c r="D76" s="46" t="str">
        <f>IF(ISBLANK(C76)," ",CONCATENATE(Equations!$C76,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7" spans="1:4" ht="17">
      <c r="A77" s="36">
        <v>76</v>
      </c>
      <c r="B77" s="30"/>
      <c r="C77" s="31"/>
      <c r="D77" s="46" t="str">
        <f>IF(ISBLANK(C77)," ",CONCATENATE(Equations!$C77,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8" spans="1:4" ht="17">
      <c r="A78" s="36">
        <v>77</v>
      </c>
      <c r="B78" s="30"/>
      <c r="C78" s="31"/>
      <c r="D78" s="46" t="str">
        <f>IF(ISBLANK(C78)," ",CONCATENATE(Equations!$C78,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79" spans="1:4" ht="17">
      <c r="A79" s="36">
        <v>78</v>
      </c>
      <c r="B79" s="30"/>
      <c r="C79" s="31"/>
      <c r="D79" s="46" t="str">
        <f>IF(ISBLANK(C79)," ",CONCATENATE(Equations!$C79,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0" spans="1:4" ht="17">
      <c r="A80" s="36">
        <v>79</v>
      </c>
      <c r="B80" s="30"/>
      <c r="C80" s="31"/>
      <c r="D80" s="46" t="str">
        <f>IF(ISBLANK(C80)," ",CONCATENATE(Equations!$C80,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1" spans="1:4" ht="17">
      <c r="A81" s="36">
        <v>80</v>
      </c>
      <c r="B81" s="30"/>
      <c r="C81" s="31"/>
      <c r="D81" s="46" t="str">
        <f>IF(ISBLANK(C81)," ",CONCATENATE(Equations!$C81,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2" spans="1:4" ht="17">
      <c r="A82" s="36">
        <v>81</v>
      </c>
      <c r="B82" s="30"/>
      <c r="C82" s="31"/>
      <c r="D82" s="46" t="str">
        <f>IF(ISBLANK(C82)," ",CONCATENATE(Equations!$C82,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3" spans="1:4" ht="17">
      <c r="A83" s="36">
        <v>82</v>
      </c>
      <c r="B83" s="30"/>
      <c r="C83" s="31"/>
      <c r="D83" s="46" t="str">
        <f>IF(ISBLANK(C83)," ",CONCATENATE(Equations!$C83,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4" spans="1:4" ht="17">
      <c r="A84" s="36">
        <v>83</v>
      </c>
      <c r="B84" s="30"/>
      <c r="C84" s="31"/>
      <c r="D84" s="46" t="str">
        <f>IF(ISBLANK(C84)," ",CONCATENATE(Equations!$C84,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5" spans="1:4" ht="17">
      <c r="A85" s="36">
        <v>84</v>
      </c>
      <c r="B85" s="30"/>
      <c r="C85" s="31"/>
      <c r="D85" s="46" t="str">
        <f>IF(ISBLANK(C85)," ",CONCATENATE(Equations!$C85,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6" spans="1:4" ht="17">
      <c r="A86" s="36">
        <v>85</v>
      </c>
      <c r="B86" s="30"/>
      <c r="C86" s="31"/>
      <c r="D86" s="46" t="str">
        <f>IF(ISBLANK(C86)," ",CONCATENATE(Equations!$C86,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7" spans="1:4" ht="17">
      <c r="A87" s="36">
        <v>86</v>
      </c>
      <c r="B87" s="30"/>
      <c r="C87" s="31"/>
      <c r="D87" s="46" t="str">
        <f>IF(ISBLANK(C87)," ",CONCATENATE(Equations!$C87,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8" spans="1:4" ht="17">
      <c r="A88" s="36">
        <v>87</v>
      </c>
      <c r="B88" s="30"/>
      <c r="C88" s="31"/>
      <c r="D88" s="46" t="str">
        <f>IF(ISBLANK(C88)," ",CONCATENATE(Equations!$C88,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89" spans="1:4" ht="17">
      <c r="A89" s="36">
        <v>88</v>
      </c>
      <c r="B89" s="30"/>
      <c r="C89" s="31"/>
      <c r="D89" s="46" t="str">
        <f>IF(ISBLANK(C89)," ",CONCATENATE(Equations!$C89,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0" spans="1:4" ht="17">
      <c r="A90" s="36">
        <v>89</v>
      </c>
      <c r="B90" s="30"/>
      <c r="C90" s="31"/>
      <c r="D90" s="46" t="str">
        <f>IF(ISBLANK(C90)," ",CONCATENATE(Equations!$C90,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1" spans="1:4" ht="17">
      <c r="A91" s="36">
        <v>90</v>
      </c>
      <c r="B91" s="30"/>
      <c r="C91" s="31"/>
      <c r="D91" s="46" t="str">
        <f>IF(ISBLANK(C91)," ",CONCATENATE(Equations!$C91,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2" spans="1:4" ht="17">
      <c r="A92" s="36">
        <v>91</v>
      </c>
      <c r="B92" s="30"/>
      <c r="C92" s="31"/>
      <c r="D92" s="46" t="str">
        <f>IF(ISBLANK(C92)," ",CONCATENATE(Equations!$C92,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3" spans="1:4" ht="17">
      <c r="A93" s="36">
        <v>92</v>
      </c>
      <c r="B93" s="30"/>
      <c r="C93" s="31"/>
      <c r="D93" s="46" t="str">
        <f>IF(ISBLANK(C93)," ",CONCATENATE(Equations!$C93,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4" spans="1:4" ht="17">
      <c r="A94" s="36">
        <v>93</v>
      </c>
      <c r="B94" s="30"/>
      <c r="C94" s="31"/>
      <c r="D94" s="46" t="str">
        <f>IF(ISBLANK(C94)," ",CONCATENATE(Equations!$C94,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5" spans="1:4" ht="17">
      <c r="A95" s="36">
        <v>94</v>
      </c>
      <c r="B95" s="30"/>
      <c r="C95" s="31"/>
      <c r="D95" s="46" t="str">
        <f>IF(ISBLANK(C95)," ",CONCATENATE(Equations!$C95,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6" spans="1:4" ht="17">
      <c r="A96" s="36">
        <v>95</v>
      </c>
      <c r="B96" s="30"/>
      <c r="C96" s="31"/>
      <c r="D96" s="46" t="str">
        <f>IF(ISBLANK(C96)," ",CONCATENATE(Equations!$C96,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7" spans="1:4" ht="17">
      <c r="A97" s="36">
        <v>96</v>
      </c>
      <c r="B97" s="30"/>
      <c r="C97" s="31"/>
      <c r="D97" s="46" t="str">
        <f>IF(ISBLANK(C97)," ",CONCATENATE(Equations!$C97,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8" spans="1:4" ht="17">
      <c r="A98" s="36">
        <v>97</v>
      </c>
      <c r="B98" s="30"/>
      <c r="C98" s="31"/>
      <c r="D98" s="46" t="str">
        <f>IF(ISBLANK(C98)," ",CONCATENATE(Equations!$C98,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99" spans="1:4" ht="17">
      <c r="A99" s="36">
        <v>98</v>
      </c>
      <c r="B99" s="30"/>
      <c r="C99" s="31"/>
      <c r="D99" s="46" t="str">
        <f>IF(ISBLANK(C99)," ",CONCATENATE(Equations!$C99,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0" spans="1:4" ht="17">
      <c r="A100" s="36">
        <v>99</v>
      </c>
      <c r="B100" s="30"/>
      <c r="C100" s="31"/>
      <c r="D100" s="46" t="str">
        <f>IF(ISBLANK(C100)," ",CONCATENATE(Equations!$C100,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1" spans="1:4" ht="17">
      <c r="A101" s="36">
        <v>100</v>
      </c>
      <c r="B101" s="30"/>
      <c r="C101" s="31"/>
      <c r="D101" s="46" t="str">
        <f>IF(ISBLANK(C101)," ",CONCATENATE(Equations!$C101,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2" spans="1:4" ht="17">
      <c r="A102" s="36">
        <v>101</v>
      </c>
      <c r="B102" s="30"/>
      <c r="C102" s="31"/>
      <c r="D102" s="46" t="str">
        <f>IF(ISBLANK(C102)," ",CONCATENATE(Equations!$C102,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3" spans="1:4" ht="17">
      <c r="A103" s="36">
        <v>102</v>
      </c>
      <c r="B103" s="30"/>
      <c r="C103" s="31"/>
      <c r="D103" s="46" t="str">
        <f>IF(ISBLANK(C103)," ",CONCATENATE(Equations!$C103,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4" spans="1:4" ht="17">
      <c r="A104" s="36">
        <v>103</v>
      </c>
      <c r="B104" s="30"/>
      <c r="C104" s="31"/>
      <c r="D104" s="46" t="str">
        <f>IF(ISBLANK(C104)," ",CONCATENATE(Equations!$C104,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5" spans="1:4" ht="17">
      <c r="A105" s="36">
        <v>104</v>
      </c>
      <c r="B105" s="30"/>
      <c r="C105" s="31"/>
      <c r="D105" s="46" t="str">
        <f>IF(ISBLANK(C105)," ",CONCATENATE(Equations!$C105,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6" spans="1:4" ht="17">
      <c r="A106" s="36">
        <v>105</v>
      </c>
      <c r="B106" s="30"/>
      <c r="C106" s="31"/>
      <c r="D106" s="46" t="str">
        <f>IF(ISBLANK(C106)," ",CONCATENATE(Equations!$C106,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7" spans="1:4" ht="17">
      <c r="A107" s="36">
        <v>106</v>
      </c>
      <c r="B107" s="30"/>
      <c r="C107" s="31"/>
      <c r="D107" s="46" t="str">
        <f>IF(ISBLANK(C107)," ",CONCATENATE(Equations!$C107,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8" spans="1:4" ht="17">
      <c r="A108" s="36">
        <v>107</v>
      </c>
      <c r="B108" s="30"/>
      <c r="C108" s="31"/>
      <c r="D108" s="46" t="str">
        <f>IF(ISBLANK(C108)," ",CONCATENATE(Equations!$C108,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09" spans="1:4" ht="17">
      <c r="A109" s="36">
        <v>108</v>
      </c>
      <c r="B109" s="30"/>
      <c r="C109" s="31"/>
      <c r="D109" s="46" t="str">
        <f>IF(ISBLANK(C109)," ",CONCATENATE(Equations!$C109,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0" spans="1:4" ht="17">
      <c r="A110" s="36">
        <v>109</v>
      </c>
      <c r="B110" s="30"/>
      <c r="C110" s="31"/>
      <c r="D110" s="46" t="str">
        <f>IF(ISBLANK(C110)," ",CONCATENATE(Equations!$C110,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1" spans="1:4" ht="17">
      <c r="A111" s="36">
        <v>110</v>
      </c>
      <c r="B111" s="30"/>
      <c r="C111" s="31"/>
      <c r="D111" s="46" t="str">
        <f>IF(ISBLANK(C111)," ",CONCATENATE(Equations!$C111,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2" spans="1:4" ht="17">
      <c r="A112" s="36">
        <v>111</v>
      </c>
      <c r="B112" s="30"/>
      <c r="C112" s="31"/>
      <c r="D112" s="46" t="str">
        <f>IF(ISBLANK(C112)," ",CONCATENATE(Equations!$C112,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3" spans="1:4" ht="17">
      <c r="A113" s="36">
        <v>112</v>
      </c>
      <c r="B113" s="30"/>
      <c r="C113" s="31"/>
      <c r="D113" s="46" t="str">
        <f>IF(ISBLANK(C113)," ",CONCATENATE(Equations!$C113,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4" spans="1:4" ht="17">
      <c r="A114" s="36">
        <v>113</v>
      </c>
      <c r="B114" s="30"/>
      <c r="C114" s="31"/>
      <c r="D114" s="46" t="str">
        <f>IF(ISBLANK(C114)," ",CONCATENATE(Equations!$C114,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5" spans="1:4" ht="17">
      <c r="A115" s="36">
        <v>114</v>
      </c>
      <c r="B115" s="30"/>
      <c r="C115" s="31"/>
      <c r="D115" s="46" t="str">
        <f>IF(ISBLANK(C115)," ",CONCATENATE(Equations!$C115,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6" spans="1:4" ht="17">
      <c r="A116" s="36">
        <v>115</v>
      </c>
      <c r="B116" s="30"/>
      <c r="C116" s="31"/>
      <c r="D116" s="46" t="str">
        <f>IF(ISBLANK(C116)," ",CONCATENATE(Equations!$C116,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7" spans="1:4" ht="17">
      <c r="A117" s="36">
        <v>116</v>
      </c>
      <c r="B117" s="30"/>
      <c r="C117" s="31"/>
      <c r="D117" s="46" t="str">
        <f>IF(ISBLANK(C117)," ",CONCATENATE(Equations!$C117,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8" spans="1:4" ht="17">
      <c r="A118" s="36">
        <v>117</v>
      </c>
      <c r="B118" s="30"/>
      <c r="C118" s="31"/>
      <c r="D118" s="46" t="str">
        <f>IF(ISBLANK(C118)," ",CONCATENATE(Equations!$C118,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19" spans="1:4" ht="17">
      <c r="A119" s="36">
        <v>118</v>
      </c>
      <c r="B119" s="30"/>
      <c r="C119" s="31"/>
      <c r="D119" s="46" t="str">
        <f>IF(ISBLANK(C119)," ",CONCATENATE(Equations!$C119,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0" spans="1:4" ht="17">
      <c r="A120" s="36">
        <v>119</v>
      </c>
      <c r="B120" s="30"/>
      <c r="C120" s="31"/>
      <c r="D120" s="46" t="str">
        <f>IF(ISBLANK(C120)," ",CONCATENATE(Equations!$C120,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1" spans="1:4" ht="17">
      <c r="A121" s="36">
        <v>120</v>
      </c>
      <c r="B121" s="30"/>
      <c r="C121" s="31"/>
      <c r="D121" s="46" t="str">
        <f>IF(ISBLANK(C121)," ",CONCATENATE(Equations!$C121,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2" spans="1:4" ht="17">
      <c r="A122" s="36">
        <v>121</v>
      </c>
      <c r="B122" s="30"/>
      <c r="C122" s="31"/>
      <c r="D122" s="46" t="str">
        <f>IF(ISBLANK(C122)," ",CONCATENATE(Equations!$C122,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3" spans="1:4" ht="17">
      <c r="A123" s="36">
        <v>122</v>
      </c>
      <c r="B123" s="30"/>
      <c r="C123" s="31"/>
      <c r="D123" s="46" t="str">
        <f>IF(ISBLANK(C123)," ",CONCATENATE(Equations!$C123,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4" spans="1:4" ht="17">
      <c r="A124" s="36">
        <v>123</v>
      </c>
      <c r="B124" s="30"/>
      <c r="C124" s="31"/>
      <c r="D124" s="46" t="str">
        <f>IF(ISBLANK(C124)," ",CONCATENATE(Equations!$C124,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5" spans="1:4" ht="17">
      <c r="A125" s="36">
        <v>124</v>
      </c>
      <c r="B125" s="30"/>
      <c r="C125" s="31"/>
      <c r="D125" s="46" t="str">
        <f>IF(ISBLANK(C125)," ",CONCATENATE(Equations!$C125,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6" spans="1:4" ht="17">
      <c r="A126" s="36">
        <v>125</v>
      </c>
      <c r="B126" s="30"/>
      <c r="C126" s="31"/>
      <c r="D126" s="46" t="str">
        <f>IF(ISBLANK(C126)," ",CONCATENATE(Equations!$C126,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7" spans="1:4" ht="17">
      <c r="A127" s="36">
        <v>126</v>
      </c>
      <c r="B127" s="30"/>
      <c r="C127" s="31"/>
      <c r="D127" s="46" t="str">
        <f>IF(ISBLANK(C127)," ",CONCATENATE(Equations!$C127,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8" spans="1:4" ht="17">
      <c r="A128" s="36">
        <v>127</v>
      </c>
      <c r="B128" s="30"/>
      <c r="C128" s="31"/>
      <c r="D128" s="46" t="str">
        <f>IF(ISBLANK(C128)," ",CONCATENATE(Equations!$C128,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29" spans="1:4" ht="17">
      <c r="A129" s="36">
        <v>128</v>
      </c>
      <c r="B129" s="30"/>
      <c r="C129" s="31"/>
      <c r="D129" s="46" t="str">
        <f>IF(ISBLANK(C129)," ",CONCATENATE(Equations!$C129,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0" spans="1:4" ht="17">
      <c r="A130" s="36">
        <v>129</v>
      </c>
      <c r="B130" s="30"/>
      <c r="C130" s="31"/>
      <c r="D130" s="46" t="str">
        <f>IF(ISBLANK(C130)," ",CONCATENATE(Equations!$C130,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1" spans="1:4" ht="17">
      <c r="A131" s="36">
        <v>130</v>
      </c>
      <c r="B131" s="30"/>
      <c r="C131" s="31"/>
      <c r="D131" s="46" t="str">
        <f>IF(ISBLANK(C131)," ",CONCATENATE(Equations!$C131,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2" spans="1:4" ht="17">
      <c r="A132" s="36">
        <v>131</v>
      </c>
      <c r="B132" s="30"/>
      <c r="C132" s="31"/>
      <c r="D132" s="46" t="str">
        <f>IF(ISBLANK(C132)," ",CONCATENATE(Equations!$C132,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3" spans="1:4" ht="17">
      <c r="A133" s="36">
        <v>132</v>
      </c>
      <c r="B133" s="30"/>
      <c r="C133" s="31"/>
      <c r="D133" s="46" t="str">
        <f>IF(ISBLANK(C133)," ",CONCATENATE(Equations!$C133,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4" spans="1:4" ht="17">
      <c r="A134" s="36">
        <v>133</v>
      </c>
      <c r="B134" s="30"/>
      <c r="C134" s="31"/>
      <c r="D134" s="46" t="str">
        <f>IF(ISBLANK(C134)," ",CONCATENATE(Equations!$C134,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5" spans="1:4" ht="17">
      <c r="A135" s="36">
        <v>134</v>
      </c>
      <c r="B135" s="30"/>
      <c r="C135" s="31"/>
      <c r="D135" s="46" t="str">
        <f>IF(ISBLANK(C135)," ",CONCATENATE(Equations!$C135,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6" spans="1:4" ht="17">
      <c r="A136" s="36">
        <v>135</v>
      </c>
      <c r="B136" s="30"/>
      <c r="C136" s="31"/>
      <c r="D136" s="46" t="str">
        <f>IF(ISBLANK(C136)," ",CONCATENATE(Equations!$C136,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7" spans="1:4" ht="17">
      <c r="A137" s="36">
        <v>136</v>
      </c>
      <c r="B137" s="30"/>
      <c r="C137" s="31"/>
      <c r="D137" s="46" t="str">
        <f>IF(ISBLANK(C137)," ",CONCATENATE(Equations!$C137,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8" spans="1:4" ht="17">
      <c r="A138" s="36">
        <v>137</v>
      </c>
      <c r="B138" s="30"/>
      <c r="C138" s="31"/>
      <c r="D138" s="46" t="str">
        <f>IF(ISBLANK(C138)," ",CONCATENATE(Equations!$C138,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39" spans="1:4" ht="17">
      <c r="A139" s="36">
        <v>138</v>
      </c>
      <c r="B139" s="30"/>
      <c r="C139" s="31"/>
      <c r="D139" s="46" t="str">
        <f>IF(ISBLANK(C139)," ",CONCATENATE(Equations!$C139,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0" spans="1:4" ht="17">
      <c r="A140" s="36">
        <v>139</v>
      </c>
      <c r="B140" s="30"/>
      <c r="C140" s="31"/>
      <c r="D140" s="46" t="str">
        <f>IF(ISBLANK(C140)," ",CONCATENATE(Equations!$C140,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1" spans="1:4" ht="17">
      <c r="A141" s="36">
        <v>140</v>
      </c>
      <c r="B141" s="30"/>
      <c r="C141" s="31"/>
      <c r="D141" s="46" t="str">
        <f>IF(ISBLANK(C141)," ",CONCATENATE(Equations!$C141,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2" spans="1:4" ht="17">
      <c r="A142" s="36">
        <v>141</v>
      </c>
      <c r="B142" s="30"/>
      <c r="C142" s="31"/>
      <c r="D142" s="46" t="str">
        <f>IF(ISBLANK(C142)," ",CONCATENATE(Equations!$C142,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3" spans="1:4" ht="17">
      <c r="A143" s="36">
        <v>142</v>
      </c>
      <c r="B143" s="30"/>
      <c r="C143" s="31"/>
      <c r="D143" s="46" t="str">
        <f>IF(ISBLANK(C143)," ",CONCATENATE(Equations!$C143,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4" spans="1:4" ht="17">
      <c r="A144" s="36">
        <v>143</v>
      </c>
      <c r="B144" s="30"/>
      <c r="C144" s="31"/>
      <c r="D144" s="46" t="str">
        <f>IF(ISBLANK(C144)," ",CONCATENATE(Equations!$C144,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5" spans="1:4" ht="17">
      <c r="A145" s="36">
        <v>144</v>
      </c>
      <c r="B145" s="30"/>
      <c r="C145" s="31"/>
      <c r="D145" s="46" t="str">
        <f>IF(ISBLANK(C145)," ",CONCATENATE(Equations!$C145,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6" spans="1:4" ht="17">
      <c r="A146" s="36">
        <v>145</v>
      </c>
      <c r="B146" s="30"/>
      <c r="C146" s="31"/>
      <c r="D146" s="46" t="str">
        <f>IF(ISBLANK(C146)," ",CONCATENATE(Equations!$C146,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7" spans="1:4" ht="17">
      <c r="A147" s="36">
        <v>146</v>
      </c>
      <c r="B147" s="30"/>
      <c r="C147" s="31"/>
      <c r="D147" s="46" t="str">
        <f>IF(ISBLANK(C147)," ",CONCATENATE(Equations!$C147,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8" spans="1:4" ht="17">
      <c r="A148" s="36">
        <v>147</v>
      </c>
      <c r="B148" s="30"/>
      <c r="C148" s="31"/>
      <c r="D148" s="46" t="str">
        <f>IF(ISBLANK(C148)," ",CONCATENATE(Equations!$C148,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49" spans="1:4" ht="17">
      <c r="A149" s="36">
        <v>148</v>
      </c>
      <c r="B149" s="30"/>
      <c r="C149" s="31"/>
      <c r="D149" s="46" t="str">
        <f>IF(ISBLANK(C149)," ",CONCATENATE(Equations!$C149,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0" spans="1:4" ht="17">
      <c r="A150" s="36">
        <v>149</v>
      </c>
      <c r="B150" s="30"/>
      <c r="C150" s="31"/>
      <c r="D150" s="46" t="str">
        <f>IF(ISBLANK(C150)," ",CONCATENATE(Equations!$C150,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1" spans="1:4" ht="17">
      <c r="A151" s="36">
        <v>150</v>
      </c>
      <c r="B151" s="30"/>
      <c r="C151" s="31"/>
      <c r="D151" s="46" t="str">
        <f>IF(ISBLANK(C151)," ",CONCATENATE(Equations!$C151,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2" spans="1:4" ht="17">
      <c r="A152" s="36">
        <v>151</v>
      </c>
      <c r="B152" s="30"/>
      <c r="C152" s="31"/>
      <c r="D152" s="46" t="str">
        <f>IF(ISBLANK(C152)," ",CONCATENATE(Equations!$C152,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3" spans="1:4" ht="17">
      <c r="A153" s="36">
        <v>152</v>
      </c>
      <c r="B153" s="30"/>
      <c r="C153" s="31"/>
      <c r="D153" s="46" t="str">
        <f>IF(ISBLANK(C153)," ",CONCATENATE(Equations!$C153,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4" spans="1:4" ht="17">
      <c r="A154" s="36">
        <v>153</v>
      </c>
      <c r="B154" s="30"/>
      <c r="C154" s="31"/>
      <c r="D154" s="46" t="str">
        <f>IF(ISBLANK(C154)," ",CONCATENATE(Equations!$C154,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5" spans="1:4" ht="17">
      <c r="A155" s="36">
        <v>154</v>
      </c>
      <c r="B155" s="30"/>
      <c r="C155" s="31"/>
      <c r="D155" s="46" t="str">
        <f>IF(ISBLANK(C155)," ",CONCATENATE(Equations!$C155,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6" spans="1:4" ht="17">
      <c r="A156" s="36">
        <v>155</v>
      </c>
      <c r="B156" s="30"/>
      <c r="C156" s="31"/>
      <c r="D156" s="46" t="str">
        <f>IF(ISBLANK(C156)," ",CONCATENATE(Equations!$C156,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7" spans="1:4" ht="17">
      <c r="A157" s="36">
        <v>156</v>
      </c>
      <c r="B157" s="30"/>
      <c r="C157" s="31"/>
      <c r="D157" s="46" t="str">
        <f>IF(ISBLANK(C157)," ",CONCATENATE(Equations!$C157,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8" spans="1:4" ht="17">
      <c r="A158" s="36">
        <v>157</v>
      </c>
      <c r="B158" s="30"/>
      <c r="C158" s="31"/>
      <c r="D158" s="46" t="str">
        <f>IF(ISBLANK(C158)," ",CONCATENATE(Equations!$C158,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59" spans="1:4" ht="17">
      <c r="A159" s="36">
        <v>158</v>
      </c>
      <c r="B159" s="30"/>
      <c r="C159" s="31"/>
      <c r="D159" s="46" t="str">
        <f>IF(ISBLANK(C159)," ",CONCATENATE(Equations!$C159,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0" spans="1:4" ht="17">
      <c r="A160" s="36">
        <v>159</v>
      </c>
      <c r="B160" s="30"/>
      <c r="C160" s="31"/>
      <c r="D160" s="46" t="str">
        <f>IF(ISBLANK(C160)," ",CONCATENATE(Equations!$C160,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1" spans="1:4" ht="17">
      <c r="A161" s="36">
        <v>160</v>
      </c>
      <c r="B161" s="30"/>
      <c r="C161" s="31"/>
      <c r="D161" s="46" t="str">
        <f>IF(ISBLANK(C161)," ",CONCATENATE(Equations!$C161,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2" spans="1:4" ht="17">
      <c r="A162" s="36">
        <v>161</v>
      </c>
      <c r="B162" s="30"/>
      <c r="C162" s="31"/>
      <c r="D162" s="46" t="str">
        <f>IF(ISBLANK(C162)," ",CONCATENATE(Equations!$C162,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3" spans="1:4" ht="17">
      <c r="A163" s="36">
        <v>162</v>
      </c>
      <c r="B163" s="30"/>
      <c r="C163" s="31"/>
      <c r="D163" s="46" t="str">
        <f>IF(ISBLANK(C163)," ",CONCATENATE(Equations!$C163,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4" spans="1:4" ht="17">
      <c r="A164" s="36">
        <v>163</v>
      </c>
      <c r="B164" s="30"/>
      <c r="C164" s="31"/>
      <c r="D164" s="46" t="str">
        <f>IF(ISBLANK(C164)," ",CONCATENATE(Equations!$C164,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5" spans="1:4" ht="17">
      <c r="A165" s="36">
        <v>164</v>
      </c>
      <c r="B165" s="30"/>
      <c r="C165" s="31"/>
      <c r="D165" s="46" t="str">
        <f>IF(ISBLANK(C165)," ",CONCATENATE(Equations!$C165,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6" spans="1:4" ht="17">
      <c r="A166" s="36">
        <v>165</v>
      </c>
      <c r="B166" s="30"/>
      <c r="C166" s="31"/>
      <c r="D166" s="46" t="str">
        <f>IF(ISBLANK(C166)," ",CONCATENATE(Equations!$C166,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7" spans="1:4" ht="17">
      <c r="A167" s="36">
        <v>166</v>
      </c>
      <c r="B167" s="30"/>
      <c r="C167" s="31"/>
      <c r="D167" s="46" t="str">
        <f>IF(ISBLANK(C167)," ",CONCATENATE(Equations!$C167,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8" spans="1:4" ht="17">
      <c r="A168" s="36">
        <v>167</v>
      </c>
      <c r="B168" s="30"/>
      <c r="C168" s="31"/>
      <c r="D168" s="46" t="str">
        <f>IF(ISBLANK(C168)," ",CONCATENATE(Equations!$C168,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69" spans="1:4" ht="17">
      <c r="A169" s="36">
        <v>168</v>
      </c>
      <c r="B169" s="30"/>
      <c r="C169" s="31"/>
      <c r="D169" s="46" t="str">
        <f>IF(ISBLANK(C169)," ",CONCATENATE(Equations!$C169,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0" spans="1:4" ht="17">
      <c r="A170" s="36">
        <v>169</v>
      </c>
      <c r="B170" s="30"/>
      <c r="C170" s="31"/>
      <c r="D170" s="46" t="str">
        <f>IF(ISBLANK(C170)," ",CONCATENATE(Equations!$C170,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1" spans="1:4" ht="17">
      <c r="A171" s="36">
        <v>170</v>
      </c>
      <c r="B171" s="30"/>
      <c r="C171" s="31"/>
      <c r="D171" s="46" t="str">
        <f>IF(ISBLANK(C171)," ",CONCATENATE(Equations!$C171,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2" spans="1:4" ht="17">
      <c r="A172" s="36">
        <v>171</v>
      </c>
      <c r="B172" s="30"/>
      <c r="C172" s="31"/>
      <c r="D172" s="46" t="str">
        <f>IF(ISBLANK(C172)," ",CONCATENATE(Equations!$C172,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3" spans="1:4" ht="17">
      <c r="A173" s="36">
        <v>172</v>
      </c>
      <c r="B173" s="30"/>
      <c r="C173" s="31"/>
      <c r="D173" s="46" t="str">
        <f>IF(ISBLANK(C173)," ",CONCATENATE(Equations!$C173,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4" spans="1:4" ht="17">
      <c r="A174" s="36">
        <v>173</v>
      </c>
      <c r="B174" s="30"/>
      <c r="C174" s="31"/>
      <c r="D174" s="46" t="str">
        <f>IF(ISBLANK(C174)," ",CONCATENATE(Equations!$C174,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5" spans="1:4" ht="17">
      <c r="A175" s="36">
        <v>174</v>
      </c>
      <c r="B175" s="30"/>
      <c r="C175" s="31"/>
      <c r="D175" s="46" t="str">
        <f>IF(ISBLANK(C175)," ",CONCATENATE(Equations!$C175,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6" spans="1:4" ht="17">
      <c r="A176" s="36">
        <v>175</v>
      </c>
      <c r="B176" s="30"/>
      <c r="C176" s="31"/>
      <c r="D176" s="46" t="str">
        <f>IF(ISBLANK(C176)," ",CONCATENATE(Equations!$C176,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7" spans="1:4" ht="17">
      <c r="A177" s="36">
        <v>176</v>
      </c>
      <c r="B177" s="30"/>
      <c r="C177" s="31"/>
      <c r="D177" s="46" t="str">
        <f>IF(ISBLANK(C177)," ",CONCATENATE(Equations!$C177,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8" spans="1:4" ht="17">
      <c r="A178" s="36">
        <v>177</v>
      </c>
      <c r="B178" s="30"/>
      <c r="C178" s="31"/>
      <c r="D178" s="46" t="str">
        <f>IF(ISBLANK(C178)," ",CONCATENATE(Equations!$C178,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79" spans="1:4" ht="17">
      <c r="A179" s="36">
        <v>178</v>
      </c>
      <c r="B179" s="30"/>
      <c r="C179" s="31"/>
      <c r="D179" s="46" t="str">
        <f>IF(ISBLANK(C179)," ",CONCATENATE(Equations!$C179,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0" spans="1:4" ht="17">
      <c r="A180" s="36">
        <v>179</v>
      </c>
      <c r="B180" s="30"/>
      <c r="C180" s="31"/>
      <c r="D180" s="46" t="str">
        <f>IF(ISBLANK(C180)," ",CONCATENATE(Equations!$C180,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1" spans="1:4" ht="17">
      <c r="A181" s="36">
        <v>180</v>
      </c>
      <c r="B181" s="30"/>
      <c r="C181" s="31"/>
      <c r="D181" s="46" t="str">
        <f>IF(ISBLANK(C181)," ",CONCATENATE(Equations!$C181,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2" spans="1:4" ht="17">
      <c r="A182" s="36">
        <v>181</v>
      </c>
      <c r="B182" s="30"/>
      <c r="C182" s="31"/>
      <c r="D182" s="46" t="str">
        <f>IF(ISBLANK(C182)," ",CONCATENATE(Equations!$C182,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3" spans="1:4" ht="17">
      <c r="A183" s="36">
        <v>182</v>
      </c>
      <c r="B183" s="30"/>
      <c r="C183" s="31"/>
      <c r="D183" s="46" t="str">
        <f>IF(ISBLANK(C183)," ",CONCATENATE(Equations!$C183,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4" spans="1:4" ht="17">
      <c r="A184" s="36">
        <v>183</v>
      </c>
      <c r="B184" s="30"/>
      <c r="C184" s="31"/>
      <c r="D184" s="46" t="str">
        <f>IF(ISBLANK(C184)," ",CONCATENATE(Equations!$C184,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5" spans="1:4" ht="17">
      <c r="A185" s="36">
        <v>184</v>
      </c>
      <c r="B185" s="30"/>
      <c r="C185" s="31"/>
      <c r="D185" s="46" t="str">
        <f>IF(ISBLANK(C185)," ",CONCATENATE(Equations!$C185,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6" spans="1:4" ht="17">
      <c r="A186" s="36">
        <v>185</v>
      </c>
      <c r="B186" s="30"/>
      <c r="C186" s="31"/>
      <c r="D186" s="46" t="str">
        <f>IF(ISBLANK(C186)," ",CONCATENATE(Equations!$C186,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7" spans="1:4" ht="17">
      <c r="A187" s="36">
        <v>186</v>
      </c>
      <c r="B187" s="30"/>
      <c r="C187" s="31"/>
      <c r="D187" s="46" t="str">
        <f>IF(ISBLANK(C187)," ",CONCATENATE(Equations!$C187,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8" spans="1:4" ht="17">
      <c r="A188" s="36">
        <v>187</v>
      </c>
      <c r="B188" s="30"/>
      <c r="C188" s="31"/>
      <c r="D188" s="46" t="str">
        <f>IF(ISBLANK(C188)," ",CONCATENATE(Equations!$C188,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89" spans="1:4" ht="17">
      <c r="A189" s="36">
        <v>188</v>
      </c>
      <c r="B189" s="30"/>
      <c r="C189" s="31"/>
      <c r="D189" s="46" t="str">
        <f>IF(ISBLANK(C189)," ",CONCATENATE(Equations!$C189,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0" spans="1:4" ht="17">
      <c r="A190" s="36">
        <v>189</v>
      </c>
      <c r="B190" s="30"/>
      <c r="C190" s="31"/>
      <c r="D190" s="46" t="str">
        <f>IF(ISBLANK(C190)," ",CONCATENATE(Equations!$C190,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1" spans="1:4" ht="17">
      <c r="A191" s="36">
        <v>190</v>
      </c>
      <c r="B191" s="30"/>
      <c r="C191" s="31"/>
      <c r="D191" s="46" t="str">
        <f>IF(ISBLANK(C191)," ",CONCATENATE(Equations!$C191,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2" spans="1:4" ht="17">
      <c r="A192" s="36">
        <v>191</v>
      </c>
      <c r="B192" s="30"/>
      <c r="C192" s="31"/>
      <c r="D192" s="46" t="str">
        <f>IF(ISBLANK(C192)," ",CONCATENATE(Equations!$C192,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3" spans="1:4" ht="17">
      <c r="A193" s="36">
        <v>192</v>
      </c>
      <c r="B193" s="30"/>
      <c r="C193" s="31"/>
      <c r="D193" s="46" t="str">
        <f>IF(ISBLANK(C193)," ",CONCATENATE(Equations!$C193,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4" spans="1:4" ht="17">
      <c r="A194" s="36">
        <v>193</v>
      </c>
      <c r="B194" s="30"/>
      <c r="C194" s="31"/>
      <c r="D194" s="46" t="str">
        <f>IF(ISBLANK(C194)," ",CONCATENATE(Equations!$C194,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5" spans="1:4" ht="17">
      <c r="A195" s="36">
        <v>194</v>
      </c>
      <c r="B195" s="30"/>
      <c r="C195" s="31"/>
      <c r="D195" s="46" t="str">
        <f>IF(ISBLANK(C195)," ",CONCATENATE(Equations!$C195,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6" spans="1:4" ht="17">
      <c r="A196" s="36">
        <v>195</v>
      </c>
      <c r="B196" s="30"/>
      <c r="C196" s="31"/>
      <c r="D196" s="46" t="str">
        <f>IF(ISBLANK(C196)," ",CONCATENATE(Equations!$C196,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7" spans="1:4" ht="17">
      <c r="A197" s="36">
        <v>196</v>
      </c>
      <c r="B197" s="30"/>
      <c r="C197" s="31"/>
      <c r="D197" s="46" t="str">
        <f>IF(ISBLANK(C197)," ",CONCATENATE(Equations!$C197,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8" spans="1:4" ht="17">
      <c r="A198" s="36">
        <v>197</v>
      </c>
      <c r="B198" s="30"/>
      <c r="C198" s="31"/>
      <c r="D198" s="46" t="str">
        <f>IF(ISBLANK(C198)," ",CONCATENATE(Equations!$C198,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199" spans="1:4" ht="17">
      <c r="A199" s="36">
        <v>198</v>
      </c>
      <c r="B199" s="30"/>
      <c r="C199" s="31"/>
      <c r="D199" s="46" t="str">
        <f>IF(ISBLANK(C199)," ",CONCATENATE(Equations!$C199,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0" spans="1:4" ht="17">
      <c r="A200" s="36">
        <v>199</v>
      </c>
      <c r="B200" s="30"/>
      <c r="C200" s="31"/>
      <c r="D200" s="46" t="str">
        <f>IF(ISBLANK(C200)," ",CONCATENATE(Equations!$C200,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1" spans="1:4" ht="17">
      <c r="A201" s="36">
        <v>200</v>
      </c>
      <c r="B201" s="30"/>
      <c r="C201" s="31"/>
      <c r="D201" s="46" t="str">
        <f>IF(ISBLANK(C201)," ",CONCATENATE(Equations!$C201,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2" spans="1:4" ht="17">
      <c r="A202" s="36">
        <v>201</v>
      </c>
      <c r="B202" s="30"/>
      <c r="C202" s="31"/>
      <c r="D202" s="46" t="str">
        <f>IF(ISBLANK(C202)," ",CONCATENATE(Equations!$C202,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3" spans="1:4" ht="17">
      <c r="A203" s="36">
        <v>202</v>
      </c>
      <c r="B203" s="30"/>
      <c r="C203" s="31"/>
      <c r="D203" s="46" t="str">
        <f>IF(ISBLANK(C203)," ",CONCATENATE(Equations!$C203,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4" spans="1:4" ht="17">
      <c r="A204" s="36">
        <v>203</v>
      </c>
      <c r="B204" s="30"/>
      <c r="C204" s="31"/>
      <c r="D204" s="46" t="str">
        <f>IF(ISBLANK(C204)," ",CONCATENATE(Equations!$C204,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5" spans="1:4" ht="17">
      <c r="A205" s="36">
        <v>204</v>
      </c>
      <c r="B205" s="30"/>
      <c r="C205" s="31"/>
      <c r="D205" s="46" t="str">
        <f>IF(ISBLANK(C205)," ",CONCATENATE(Equations!$C205,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6" spans="1:4" ht="17">
      <c r="A206" s="36">
        <v>205</v>
      </c>
      <c r="B206" s="30"/>
      <c r="C206" s="31"/>
      <c r="D206" s="46" t="str">
        <f>IF(ISBLANK(C206)," ",CONCATENATE(Equations!$C206,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7" spans="1:4" ht="17">
      <c r="A207" s="36">
        <v>206</v>
      </c>
      <c r="B207" s="30"/>
      <c r="C207" s="31"/>
      <c r="D207" s="46" t="str">
        <f>IF(ISBLANK(C207)," ",CONCATENATE(Equations!$C207,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8" spans="1:4" ht="17">
      <c r="A208" s="36">
        <v>207</v>
      </c>
      <c r="B208" s="30"/>
      <c r="C208" s="31"/>
      <c r="D208" s="46" t="str">
        <f>IF(ISBLANK(C208)," ",CONCATENATE(Equations!$C208,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09" spans="1:4" ht="17">
      <c r="A209" s="36">
        <v>208</v>
      </c>
      <c r="B209" s="30"/>
      <c r="C209" s="31"/>
      <c r="D209" s="46" t="str">
        <f>IF(ISBLANK(C209)," ",CONCATENATE(Equations!$C209,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0" spans="1:4" ht="17">
      <c r="A210" s="36">
        <v>209</v>
      </c>
      <c r="B210" s="30"/>
      <c r="C210" s="31"/>
      <c r="D210" s="46" t="str">
        <f>IF(ISBLANK(C210)," ",CONCATENATE(Equations!$C210,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1" spans="1:4" ht="17">
      <c r="A211" s="36">
        <v>210</v>
      </c>
      <c r="B211" s="30"/>
      <c r="C211" s="31"/>
      <c r="D211" s="46" t="str">
        <f>IF(ISBLANK(C211)," ",CONCATENATE(Equations!$C211,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2" spans="1:4" ht="17">
      <c r="A212" s="36">
        <v>211</v>
      </c>
      <c r="B212" s="30"/>
      <c r="C212" s="31"/>
      <c r="D212" s="46" t="str">
        <f>IF(ISBLANK(C212)," ",CONCATENATE(Equations!$C212,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3" spans="1:4" ht="17">
      <c r="A213" s="36">
        <v>212</v>
      </c>
      <c r="B213" s="30"/>
      <c r="C213" s="31"/>
      <c r="D213" s="46" t="str">
        <f>IF(ISBLANK(C213)," ",CONCATENATE(Equations!$C213,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4" spans="1:4" ht="17">
      <c r="A214" s="36">
        <v>213</v>
      </c>
      <c r="B214" s="30"/>
      <c r="C214" s="31"/>
      <c r="D214" s="46" t="str">
        <f>IF(ISBLANK(C214)," ",CONCATENATE(Equations!$C214,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5" spans="1:4" ht="17">
      <c r="A215" s="36">
        <v>214</v>
      </c>
      <c r="B215" s="30"/>
      <c r="C215" s="31"/>
      <c r="D215" s="46" t="str">
        <f>IF(ISBLANK(C215)," ",CONCATENATE(Equations!$C215,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6" spans="1:4" ht="17">
      <c r="A216" s="36">
        <v>215</v>
      </c>
      <c r="B216" s="30"/>
      <c r="C216" s="31"/>
      <c r="D216" s="46" t="str">
        <f>IF(ISBLANK(C216)," ",CONCATENATE(Equations!$C216,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7" spans="1:4" ht="17">
      <c r="A217" s="36">
        <v>216</v>
      </c>
      <c r="B217" s="30"/>
      <c r="C217" s="31"/>
      <c r="D217" s="46" t="str">
        <f>IF(ISBLANK(C217)," ",CONCATENATE(Equations!$C217,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8" spans="1:4" ht="17">
      <c r="A218" s="36">
        <v>217</v>
      </c>
      <c r="B218" s="30"/>
      <c r="C218" s="31"/>
      <c r="D218" s="46" t="str">
        <f>IF(ISBLANK(C218)," ",CONCATENATE(Equations!$C218,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19" spans="1:4" ht="17">
      <c r="A219" s="36">
        <v>218</v>
      </c>
      <c r="B219" s="30"/>
      <c r="C219" s="31"/>
      <c r="D219" s="46" t="str">
        <f>IF(ISBLANK(C219)," ",CONCATENATE(Equations!$C219,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0" spans="1:4" ht="17">
      <c r="A220" s="36">
        <v>219</v>
      </c>
      <c r="B220" s="30"/>
      <c r="C220" s="31"/>
      <c r="D220" s="46" t="str">
        <f>IF(ISBLANK(C220)," ",CONCATENATE(Equations!$C220,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1" spans="1:4" ht="17">
      <c r="A221" s="36">
        <v>220</v>
      </c>
      <c r="B221" s="30"/>
      <c r="C221" s="31"/>
      <c r="D221" s="46" t="str">
        <f>IF(ISBLANK(C221)," ",CONCATENATE(Equations!$C221,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2" spans="1:4" ht="17">
      <c r="A222" s="36">
        <v>221</v>
      </c>
      <c r="B222" s="30"/>
      <c r="C222" s="31"/>
      <c r="D222" s="46" t="str">
        <f>IF(ISBLANK(C222)," ",CONCATENATE(Equations!$C222,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3" spans="1:4" ht="17">
      <c r="A223" s="36">
        <v>222</v>
      </c>
      <c r="B223" s="30"/>
      <c r="C223" s="31"/>
      <c r="D223" s="46" t="str">
        <f>IF(ISBLANK(C223)," ",CONCATENATE(Equations!$C223,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4" spans="1:4" ht="17">
      <c r="A224" s="36">
        <v>223</v>
      </c>
      <c r="B224" s="30"/>
      <c r="C224" s="31"/>
      <c r="D224" s="46" t="str">
        <f>IF(ISBLANK(C224)," ",CONCATENATE(Equations!$C224,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5" spans="1:4" ht="17">
      <c r="A225" s="36">
        <v>224</v>
      </c>
      <c r="B225" s="30"/>
      <c r="C225" s="31"/>
      <c r="D225" s="46" t="str">
        <f>IF(ISBLANK(C225)," ",CONCATENATE(Equations!$C225,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6" spans="1:4" ht="17">
      <c r="A226" s="36">
        <v>225</v>
      </c>
      <c r="B226" s="30"/>
      <c r="C226" s="31"/>
      <c r="D226" s="46" t="str">
        <f>IF(ISBLANK(C226)," ",CONCATENATE(Equations!$C226,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7" spans="1:4" ht="17">
      <c r="A227" s="36">
        <v>226</v>
      </c>
      <c r="B227" s="30"/>
      <c r="C227" s="31"/>
      <c r="D227" s="46" t="str">
        <f>IF(ISBLANK(C227)," ",CONCATENATE(Equations!$C227,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8" spans="1:4" ht="17">
      <c r="A228" s="36">
        <v>227</v>
      </c>
      <c r="B228" s="30"/>
      <c r="C228" s="31"/>
      <c r="D228" s="46" t="str">
        <f>IF(ISBLANK(C228)," ",CONCATENATE(Equations!$C228,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29" spans="1:4" ht="17">
      <c r="A229" s="36">
        <v>228</v>
      </c>
      <c r="B229" s="30"/>
      <c r="C229" s="31"/>
      <c r="D229" s="46" t="str">
        <f>IF(ISBLANK(C229)," ",CONCATENATE(Equations!$C229,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0" spans="1:4" ht="17">
      <c r="A230" s="36">
        <v>229</v>
      </c>
      <c r="B230" s="30"/>
      <c r="C230" s="31"/>
      <c r="D230" s="46" t="str">
        <f>IF(ISBLANK(C230)," ",CONCATENATE(Equations!$C230,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1" spans="1:4" ht="17">
      <c r="A231" s="36">
        <v>230</v>
      </c>
      <c r="B231" s="30"/>
      <c r="C231" s="31"/>
      <c r="D231" s="46" t="str">
        <f>IF(ISBLANK(C231)," ",CONCATENATE(Equations!$C231,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2" spans="1:4" ht="17">
      <c r="A232" s="36">
        <v>231</v>
      </c>
      <c r="B232" s="30"/>
      <c r="C232" s="31"/>
      <c r="D232" s="46" t="str">
        <f>IF(ISBLANK(C232)," ",CONCATENATE(Equations!$C232,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3" spans="1:4" ht="17">
      <c r="A233" s="36">
        <v>232</v>
      </c>
      <c r="B233" s="30"/>
      <c r="C233" s="31"/>
      <c r="D233" s="46" t="str">
        <f>IF(ISBLANK(C233)," ",CONCATENATE(Equations!$C233,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4" spans="1:4" ht="17">
      <c r="A234" s="36">
        <v>233</v>
      </c>
      <c r="B234" s="30"/>
      <c r="C234" s="31"/>
      <c r="D234" s="46" t="str">
        <f>IF(ISBLANK(C234)," ",CONCATENATE(Equations!$C234,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5" spans="1:4" ht="17">
      <c r="A235" s="36">
        <v>234</v>
      </c>
      <c r="B235" s="30"/>
      <c r="C235" s="31"/>
      <c r="D235" s="46" t="str">
        <f>IF(ISBLANK(C235)," ",CONCATENATE(Equations!$C235,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6" spans="1:4" ht="17">
      <c r="A236" s="36">
        <v>235</v>
      </c>
      <c r="B236" s="30"/>
      <c r="C236" s="31"/>
      <c r="D236" s="46" t="str">
        <f>IF(ISBLANK(C236)," ",CONCATENATE(Equations!$C236,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7" spans="1:4" ht="17">
      <c r="A237" s="36">
        <v>236</v>
      </c>
      <c r="B237" s="30"/>
      <c r="C237" s="31"/>
      <c r="D237" s="46" t="str">
        <f>IF(ISBLANK(C237)," ",CONCATENATE(Equations!$C237,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8" spans="1:4" ht="17">
      <c r="A238" s="36">
        <v>237</v>
      </c>
      <c r="B238" s="30"/>
      <c r="C238" s="31"/>
      <c r="D238" s="46" t="str">
        <f>IF(ISBLANK(C238)," ",CONCATENATE(Equations!$C238,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39" spans="1:4" ht="17">
      <c r="A239" s="36">
        <v>238</v>
      </c>
      <c r="B239" s="30"/>
      <c r="C239" s="31"/>
      <c r="D239" s="46" t="str">
        <f>IF(ISBLANK(C239)," ",CONCATENATE(Equations!$C239,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0" spans="1:4" ht="17">
      <c r="A240" s="36">
        <v>239</v>
      </c>
      <c r="B240" s="30"/>
      <c r="C240" s="31"/>
      <c r="D240" s="46" t="str">
        <f>IF(ISBLANK(C240)," ",CONCATENATE(Equations!$C240,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1" spans="1:4" ht="17">
      <c r="A241" s="36">
        <v>240</v>
      </c>
      <c r="B241" s="30"/>
      <c r="C241" s="31"/>
      <c r="D241" s="46" t="str">
        <f>IF(ISBLANK(C241)," ",CONCATENATE(Equations!$C241,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2" spans="1:4" ht="17">
      <c r="A242" s="36">
        <v>241</v>
      </c>
      <c r="B242" s="30"/>
      <c r="C242" s="31"/>
      <c r="D242" s="46" t="str">
        <f>IF(ISBLANK(C242)," ",CONCATENATE(Equations!$C242,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3" spans="1:4" ht="17">
      <c r="A243" s="36">
        <v>242</v>
      </c>
      <c r="B243" s="30"/>
      <c r="C243" s="31"/>
      <c r="D243" s="46" t="str">
        <f>IF(ISBLANK(C243)," ",CONCATENATE(Equations!$C243,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4" spans="1:4" ht="17">
      <c r="A244" s="36">
        <v>243</v>
      </c>
      <c r="B244" s="30"/>
      <c r="C244" s="31"/>
      <c r="D244" s="46" t="str">
        <f>IF(ISBLANK(C244)," ",CONCATENATE(Equations!$C244,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5" spans="1:4" ht="17">
      <c r="A245" s="36">
        <v>244</v>
      </c>
      <c r="B245" s="30"/>
      <c r="C245" s="31"/>
      <c r="D245" s="46" t="str">
        <f>IF(ISBLANK(C245)," ",CONCATENATE(Equations!$C245,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6" spans="1:4" ht="17">
      <c r="A246" s="36">
        <v>245</v>
      </c>
      <c r="B246" s="30"/>
      <c r="C246" s="31"/>
      <c r="D246" s="46" t="str">
        <f>IF(ISBLANK(C246)," ",CONCATENATE(Equations!$C246,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7" spans="1:4" ht="17">
      <c r="A247" s="36">
        <v>246</v>
      </c>
      <c r="B247" s="30"/>
      <c r="C247" s="31"/>
      <c r="D247" s="46" t="str">
        <f>IF(ISBLANK(C247)," ",CONCATENATE(Equations!$C247,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8" spans="1:4" ht="17">
      <c r="A248" s="36">
        <v>247</v>
      </c>
      <c r="B248" s="30"/>
      <c r="C248" s="31"/>
      <c r="D248" s="46" t="str">
        <f>IF(ISBLANK(C248)," ",CONCATENATE(Equations!$C248,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49" spans="1:4" ht="17">
      <c r="A249" s="36">
        <v>248</v>
      </c>
      <c r="B249" s="30"/>
      <c r="C249" s="31"/>
      <c r="D249" s="46" t="str">
        <f>IF(ISBLANK(C249)," ",CONCATENATE(Equations!$C249,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0" spans="1:4" ht="17">
      <c r="A250" s="36">
        <v>249</v>
      </c>
      <c r="B250" s="30"/>
      <c r="C250" s="31"/>
      <c r="D250" s="46" t="str">
        <f>IF(ISBLANK(C250)," ",CONCATENATE(Equations!$C250,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row r="251" spans="1:4" ht="17">
      <c r="A251" s="36">
        <v>250</v>
      </c>
      <c r="B251" s="30"/>
      <c r="C251" s="31"/>
      <c r="D251" s="46" t="str">
        <f>IF(ISBLANK(C251)," ",CONCATENATE(Equations!$C251,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 xml:space="preserve"> </v>
      </c>
    </row>
  </sheetData>
  <sheetProtection sheet="1" sort="0" autoFilter="0"/>
  <conditionalFormatting sqref="D2:D251">
    <cfRule type="notContainsBlanks" dxfId="0" priority="3">
      <formula>LEN(TRIM(D2))&gt;0</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86FFEE-06A5-434B-9E3E-C50E4CB5621C}">
  <sheetPr codeName="Blad7"/>
  <dimension ref="A1:W80"/>
  <sheetViews>
    <sheetView workbookViewId="0">
      <selection activeCell="B5" sqref="B5"/>
    </sheetView>
  </sheetViews>
  <sheetFormatPr baseColWidth="10" defaultRowHeight="16"/>
  <cols>
    <col min="1" max="1" width="63.6640625" customWidth="1"/>
    <col min="2" max="2" width="78.6640625" customWidth="1"/>
    <col min="3" max="3" width="149.6640625" customWidth="1"/>
    <col min="4" max="4" width="142.33203125" customWidth="1"/>
  </cols>
  <sheetData>
    <row r="1" spans="1:23" s="29" customFormat="1">
      <c r="A1" s="29" t="s">
        <v>133</v>
      </c>
    </row>
    <row r="2" spans="1:23" s="29" customFormat="1">
      <c r="A2" s="29" t="s">
        <v>134</v>
      </c>
    </row>
    <row r="3" spans="1:23" s="29" customFormat="1"/>
    <row r="4" spans="1:23" s="29" customFormat="1">
      <c r="A4" s="59" t="s">
        <v>138</v>
      </c>
      <c r="B4" s="59" t="s">
        <v>43</v>
      </c>
      <c r="C4" s="60" t="s">
        <v>45</v>
      </c>
      <c r="D4" s="60" t="s">
        <v>46</v>
      </c>
    </row>
    <row r="5" spans="1:23" ht="409.6">
      <c r="A5" s="62" t="str">
        <f>CONCATENATEMULTIPLE(Units!D2:D201,CONCATENATE(CHAR(10),CHAR(13)))</f>
        <v xml:space="preserve">\DeclareSIUnit[]\kgpermthree{\kg\per\cubic\meter}
_x000D_\DeclareSIUnit[]\mpers{\meter\per\second}
_x000D_\DeclareSIUnit[]\patimess{\pascal\second}
_x000D_\DeclareSIUnit[]\nodimension{-}
_x000D_\DeclareSIUnit[]\mperstwo{\meter\per\square\second}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B5" s="62" t="str">
        <f>CONCATENATEMULTIPLE(Symbols!J2:J201,CONCATENATE(CHAR(10),CHAR(13)))</f>
        <v xml:space="preserve">\newcommand{\Dar}{Archimedes number}
_x000D_\newcommand{\Dg}{gravitational acceleration}
_x000D_\newcommand{\DL}{characteristic linear dimension}
_x000D_\newcommand{\Dmu}{dynamic viscosity of the fluid}
_x000D_\newcommand{\Dre}{Reynolds number,  dimensionless quantity}
_x000D_\newcommand{\Drhobody}{density of the body}
_x000D_\newcommand{\Drholiquid}{density of the fluid}
_x000D_\newcommand{\Du}{velocity of the fluid with respect to the object. This is a second line}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C5" s="62" t="str">
        <f>CONCATENATEMULTIPLE(Symbols!K2:K201,CONCATENATE(CHAR(10),CHAR(13)))</f>
        <v xml:space="preserve">\newglossaryentry{Ar}{name={$Ar$},description={\Dar},unit={\si{\nodimension}},type=symbolslist,sort=1}
_x000D_\newglossaryentry{g}{name={$g$},description={\Dg},unit={\si{\mperstwo}},type=symbolslist,sort=1}
_x000D_\newglossaryentry{L}{name={$L$},description={\DL},unit={\si{\meter}},type=symbolslist,sort=1}
_x000D_\newglossaryentry{mu}{name={$\mu$},description={\Dmu},unit={\si{\patimess}},type=symbolslist,sort=1}
_x000D_\newglossaryentry{Re}{name={$Re$},description={\Dre},unit={\si{\nodimension}},type=symbolslist,sort=1}
_x000D_\newglossaryentry{rhobody}{name={$\rho_b$},description={\Drhobody},unit={\si{\kgpermthree}},type=symbolslist,sort=1}
_x000D_\newglossaryentry{rholiquid}{name={$\rho_\ell$},description={\Drholiquid},unit={\si{\kgpermthree}},type=symbolslist,sort=1}
_x000D_\newglossaryentry{u}{name={$u$},description={\Du},unit={\si{\mpers}},type=symbolslist,sort=1}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D5" s="62" t="str">
        <f>CONCATENATEMULTIPLE(Symbols!L2:L201,CONCATENATE(CHAR(10),CHAR(13)))</f>
        <v xml:space="preserve">\newcommand{\Ear}{\parbox[t]{\widtheqparameter}{\Dar}\hspace{\widtheqwhitespace}[\si{\nodimension}]}
_x000D_\newcommand{\Eg}{\parbox[t]{\widtheqparameter}{\Dg}\hspace{\widtheqwhitespace}[\si{\mperstwo}]}
_x000D_\newcommand{\EL}{\parbox[t]{\widtheqparameter}{\DL}\hspace{\widtheqwhitespace}[\si{\meter}]}
_x000D_\newcommand{\Emu}{\parbox[t]{\widtheqparameter}{\Dmu}\hspace{\widtheqwhitespace}[\si{\patimess}]}
_x000D_\newcommand{\Ere}{\parbox[t]{\widtheqparameter}{\Dre}\hspace{\widtheqwhitespace}[\si{\nodimension}]}
_x000D_\newcommand{\Erhobody}{\parbox[t]{\widtheqparameter}{\Drhobody}\hspace{\widtheqwhitespace}[\si{\kgpermthree}]}
_x000D_\newcommand{\Erholiquid}{\parbox[t]{\widtheqparameter}{\Drholiquid}\hspace{\widtheqwhitespace}[\si{\kgpermthree}]}
_x000D_\newcommand{\Eu}{\parbox[t]{\widtheqparameter}{\Du}\hspace{\widtheqwhitespace}[\si{\mpers}]}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v>
      </c>
      <c r="E5" s="48"/>
      <c r="F5" s="48"/>
      <c r="G5" s="48"/>
      <c r="H5" s="48"/>
      <c r="I5" s="48"/>
      <c r="J5" s="48"/>
      <c r="K5" s="48"/>
      <c r="L5" s="48"/>
      <c r="M5" s="48"/>
      <c r="N5" s="48"/>
      <c r="O5" s="48"/>
      <c r="P5" s="48"/>
      <c r="Q5" s="48"/>
      <c r="R5" s="48"/>
      <c r="S5" s="48"/>
      <c r="T5" s="48"/>
    </row>
    <row r="6" spans="1:23">
      <c r="A6" s="61"/>
      <c r="B6" s="61"/>
      <c r="C6" s="61"/>
      <c r="D6" s="61"/>
      <c r="E6" s="29"/>
      <c r="F6" s="29"/>
      <c r="G6" s="29"/>
      <c r="H6" s="29"/>
      <c r="I6" s="29"/>
      <c r="J6" s="29"/>
      <c r="K6" s="29"/>
      <c r="L6" s="29"/>
      <c r="M6" s="29"/>
      <c r="N6" s="29"/>
      <c r="O6" s="29"/>
      <c r="P6" s="29"/>
      <c r="Q6" s="29"/>
      <c r="R6" s="29"/>
      <c r="S6" s="29"/>
      <c r="T6" s="29"/>
      <c r="U6" s="29"/>
      <c r="V6" s="29"/>
      <c r="W6" s="29"/>
    </row>
    <row r="7" spans="1:23">
      <c r="A7" s="29"/>
      <c r="B7" s="29"/>
      <c r="C7" s="29"/>
      <c r="D7" s="29"/>
      <c r="E7" s="29"/>
      <c r="F7" s="29"/>
      <c r="G7" s="29"/>
      <c r="H7" s="29"/>
      <c r="I7" s="29"/>
      <c r="J7" s="29"/>
      <c r="K7" s="29"/>
      <c r="L7" s="29"/>
      <c r="M7" s="29"/>
      <c r="N7" s="29"/>
      <c r="O7" s="29"/>
      <c r="P7" s="29"/>
      <c r="Q7" s="29"/>
      <c r="R7" s="29"/>
      <c r="S7" s="29"/>
      <c r="T7" s="29"/>
      <c r="U7" s="29"/>
      <c r="V7" s="29"/>
      <c r="W7" s="29"/>
    </row>
    <row r="8" spans="1:23">
      <c r="A8" s="29"/>
      <c r="B8" s="29"/>
      <c r="C8" s="29"/>
      <c r="D8" s="29"/>
      <c r="E8" s="29"/>
      <c r="F8" s="29"/>
      <c r="G8" s="29"/>
      <c r="H8" s="29"/>
      <c r="I8" s="29"/>
      <c r="J8" s="29"/>
      <c r="K8" s="29"/>
      <c r="L8" s="29"/>
      <c r="M8" s="29"/>
      <c r="N8" s="29"/>
      <c r="O8" s="29"/>
      <c r="P8" s="29"/>
      <c r="Q8" s="29"/>
      <c r="R8" s="29"/>
      <c r="S8" s="29"/>
      <c r="T8" s="29"/>
      <c r="U8" s="29"/>
      <c r="V8" s="29"/>
      <c r="W8" s="29"/>
    </row>
    <row r="9" spans="1:23">
      <c r="A9" s="29"/>
      <c r="B9" s="29"/>
      <c r="C9" s="29"/>
      <c r="D9" s="29"/>
      <c r="E9" s="29"/>
      <c r="F9" s="29"/>
      <c r="G9" s="29"/>
      <c r="H9" s="29"/>
      <c r="I9" s="29"/>
      <c r="J9" s="29"/>
      <c r="K9" s="29"/>
      <c r="L9" s="29"/>
      <c r="M9" s="29"/>
      <c r="N9" s="29"/>
      <c r="O9" s="29"/>
      <c r="P9" s="29"/>
      <c r="Q9" s="29"/>
      <c r="R9" s="29"/>
      <c r="S9" s="29"/>
      <c r="T9" s="29"/>
      <c r="U9" s="29"/>
      <c r="V9" s="29"/>
      <c r="W9" s="29"/>
    </row>
    <row r="10" spans="1:23">
      <c r="A10" s="29"/>
      <c r="B10" s="29"/>
      <c r="C10" s="29"/>
      <c r="D10" s="29"/>
      <c r="E10" s="29"/>
      <c r="F10" s="29"/>
      <c r="G10" s="29"/>
      <c r="H10" s="29"/>
      <c r="I10" s="29"/>
      <c r="J10" s="29"/>
      <c r="K10" s="29"/>
      <c r="L10" s="29"/>
      <c r="M10" s="29"/>
      <c r="N10" s="29"/>
      <c r="O10" s="29"/>
      <c r="P10" s="29"/>
      <c r="Q10" s="29"/>
      <c r="R10" s="29"/>
      <c r="S10" s="29"/>
      <c r="T10" s="29"/>
      <c r="U10" s="29"/>
      <c r="V10" s="29"/>
      <c r="W10" s="29"/>
    </row>
    <row r="11" spans="1:23">
      <c r="A11" s="29"/>
      <c r="B11" s="29"/>
      <c r="C11" s="29"/>
      <c r="D11" s="29"/>
      <c r="E11" s="29"/>
      <c r="F11" s="29"/>
      <c r="G11" s="29"/>
      <c r="H11" s="29"/>
      <c r="I11" s="29"/>
      <c r="J11" s="29"/>
      <c r="K11" s="29"/>
      <c r="L11" s="29"/>
      <c r="M11" s="29"/>
      <c r="N11" s="29"/>
      <c r="O11" s="29"/>
      <c r="P11" s="29"/>
      <c r="Q11" s="29"/>
      <c r="R11" s="29"/>
      <c r="S11" s="29"/>
      <c r="T11" s="29"/>
      <c r="U11" s="29"/>
      <c r="V11" s="29"/>
      <c r="W11" s="29"/>
    </row>
    <row r="12" spans="1:23">
      <c r="A12" s="29"/>
      <c r="B12" s="29"/>
      <c r="C12" s="29"/>
      <c r="D12" s="29"/>
      <c r="E12" s="29"/>
      <c r="F12" s="29"/>
      <c r="G12" s="29"/>
      <c r="H12" s="29"/>
      <c r="I12" s="29"/>
      <c r="J12" s="29"/>
      <c r="K12" s="29"/>
      <c r="L12" s="29"/>
      <c r="M12" s="29"/>
      <c r="N12" s="29"/>
      <c r="O12" s="29"/>
      <c r="P12" s="29"/>
      <c r="Q12" s="29"/>
      <c r="R12" s="29"/>
      <c r="S12" s="29"/>
      <c r="T12" s="29"/>
      <c r="U12" s="29"/>
      <c r="V12" s="29"/>
      <c r="W12" s="29"/>
    </row>
    <row r="13" spans="1:23">
      <c r="A13" s="29"/>
      <c r="B13" s="29"/>
      <c r="C13" s="29"/>
      <c r="D13" s="29"/>
      <c r="E13" s="29"/>
      <c r="F13" s="29"/>
      <c r="G13" s="29"/>
      <c r="H13" s="29"/>
      <c r="I13" s="29"/>
      <c r="J13" s="29"/>
      <c r="K13" s="29"/>
      <c r="L13" s="29"/>
      <c r="M13" s="29"/>
      <c r="N13" s="29"/>
      <c r="O13" s="29"/>
      <c r="P13" s="29"/>
      <c r="Q13" s="29"/>
      <c r="R13" s="29"/>
      <c r="S13" s="29"/>
      <c r="T13" s="29"/>
      <c r="U13" s="29"/>
      <c r="V13" s="29"/>
      <c r="W13" s="29"/>
    </row>
    <row r="14" spans="1:23">
      <c r="A14" s="29"/>
      <c r="B14" s="29"/>
      <c r="C14" s="29"/>
      <c r="D14" s="29"/>
      <c r="E14" s="29"/>
      <c r="F14" s="29"/>
      <c r="G14" s="29"/>
      <c r="H14" s="29"/>
      <c r="I14" s="29"/>
      <c r="J14" s="29"/>
      <c r="K14" s="29"/>
      <c r="L14" s="29"/>
      <c r="M14" s="29"/>
      <c r="N14" s="29"/>
      <c r="O14" s="29"/>
      <c r="P14" s="29"/>
      <c r="Q14" s="29"/>
      <c r="R14" s="29"/>
      <c r="S14" s="29"/>
      <c r="T14" s="29"/>
      <c r="U14" s="29"/>
      <c r="V14" s="29"/>
      <c r="W14" s="29"/>
    </row>
    <row r="15" spans="1:23">
      <c r="A15" s="29"/>
      <c r="B15" s="29"/>
      <c r="C15" s="29"/>
      <c r="D15" s="29"/>
      <c r="E15" s="29"/>
      <c r="F15" s="29"/>
      <c r="G15" s="29"/>
      <c r="H15" s="29"/>
      <c r="I15" s="29"/>
      <c r="J15" s="29"/>
      <c r="K15" s="29"/>
      <c r="L15" s="29"/>
      <c r="M15" s="29"/>
      <c r="N15" s="29"/>
      <c r="O15" s="29"/>
      <c r="P15" s="29"/>
      <c r="Q15" s="29"/>
      <c r="R15" s="29"/>
      <c r="S15" s="29"/>
      <c r="T15" s="29"/>
      <c r="U15" s="29"/>
      <c r="V15" s="29"/>
      <c r="W15" s="29"/>
    </row>
    <row r="16" spans="1:23">
      <c r="A16" s="29"/>
      <c r="B16" s="29"/>
      <c r="C16" s="29"/>
      <c r="D16" s="29"/>
      <c r="E16" s="29"/>
      <c r="F16" s="29"/>
      <c r="G16" s="29"/>
      <c r="H16" s="29"/>
      <c r="I16" s="29"/>
      <c r="J16" s="29"/>
      <c r="K16" s="29"/>
      <c r="L16" s="29"/>
      <c r="M16" s="29"/>
      <c r="N16" s="29"/>
      <c r="O16" s="29"/>
      <c r="P16" s="29"/>
      <c r="Q16" s="29"/>
      <c r="R16" s="29"/>
      <c r="S16" s="29"/>
      <c r="T16" s="29"/>
      <c r="U16" s="29"/>
      <c r="V16" s="29"/>
      <c r="W16" s="29"/>
    </row>
    <row r="17" spans="1:23">
      <c r="A17" s="29"/>
      <c r="B17" s="29"/>
      <c r="C17" s="29"/>
      <c r="D17" s="29"/>
      <c r="E17" s="29"/>
      <c r="F17" s="29"/>
      <c r="G17" s="29"/>
      <c r="H17" s="29"/>
      <c r="I17" s="29"/>
      <c r="J17" s="29"/>
      <c r="K17" s="29"/>
      <c r="L17" s="29"/>
      <c r="M17" s="29"/>
      <c r="N17" s="29"/>
      <c r="O17" s="29"/>
      <c r="P17" s="29"/>
      <c r="Q17" s="29"/>
      <c r="R17" s="29"/>
      <c r="S17" s="29"/>
      <c r="T17" s="29"/>
      <c r="U17" s="29"/>
      <c r="V17" s="29"/>
      <c r="W17" s="29"/>
    </row>
    <row r="18" spans="1:23">
      <c r="A18" s="29"/>
      <c r="B18" s="29"/>
      <c r="C18" s="29"/>
      <c r="D18" s="29"/>
      <c r="E18" s="29"/>
      <c r="F18" s="29"/>
      <c r="G18" s="29"/>
      <c r="H18" s="29"/>
      <c r="I18" s="29"/>
      <c r="J18" s="29"/>
      <c r="K18" s="29"/>
      <c r="L18" s="29"/>
      <c r="M18" s="29"/>
      <c r="N18" s="29"/>
      <c r="O18" s="29"/>
      <c r="P18" s="29"/>
      <c r="Q18" s="29"/>
      <c r="R18" s="29"/>
      <c r="S18" s="29"/>
      <c r="T18" s="29"/>
      <c r="U18" s="29"/>
      <c r="V18" s="29"/>
      <c r="W18" s="29"/>
    </row>
    <row r="19" spans="1:23">
      <c r="A19" s="29"/>
      <c r="B19" s="29"/>
      <c r="C19" s="29"/>
      <c r="D19" s="29"/>
      <c r="E19" s="29"/>
      <c r="F19" s="29"/>
      <c r="G19" s="29"/>
      <c r="H19" s="29"/>
      <c r="I19" s="29"/>
      <c r="J19" s="29"/>
      <c r="K19" s="29"/>
      <c r="L19" s="29"/>
      <c r="M19" s="29"/>
      <c r="N19" s="29"/>
      <c r="O19" s="29"/>
      <c r="P19" s="29"/>
      <c r="Q19" s="29"/>
      <c r="R19" s="29"/>
      <c r="S19" s="29"/>
      <c r="T19" s="29"/>
      <c r="U19" s="29"/>
      <c r="V19" s="29"/>
      <c r="W19" s="29"/>
    </row>
    <row r="20" spans="1:23">
      <c r="A20" s="29"/>
      <c r="B20" s="29"/>
      <c r="C20" s="29"/>
      <c r="D20" s="29"/>
      <c r="E20" s="29"/>
      <c r="F20" s="29"/>
      <c r="G20" s="29"/>
      <c r="H20" s="29"/>
      <c r="I20" s="29"/>
      <c r="J20" s="29"/>
      <c r="K20" s="29"/>
      <c r="L20" s="29"/>
      <c r="M20" s="29"/>
      <c r="N20" s="29"/>
      <c r="O20" s="29"/>
      <c r="P20" s="29"/>
      <c r="Q20" s="29"/>
      <c r="R20" s="29"/>
      <c r="S20" s="29"/>
      <c r="T20" s="29"/>
      <c r="U20" s="29"/>
      <c r="V20" s="29"/>
      <c r="W20" s="29"/>
    </row>
    <row r="21" spans="1:23">
      <c r="A21" s="29"/>
      <c r="B21" s="29"/>
      <c r="C21" s="29"/>
      <c r="D21" s="29"/>
      <c r="E21" s="29"/>
      <c r="F21" s="29"/>
      <c r="G21" s="29"/>
      <c r="H21" s="29"/>
      <c r="I21" s="29"/>
      <c r="J21" s="29"/>
      <c r="K21" s="29"/>
      <c r="L21" s="29"/>
      <c r="M21" s="29"/>
      <c r="N21" s="29"/>
      <c r="O21" s="29"/>
      <c r="P21" s="29"/>
      <c r="Q21" s="29"/>
      <c r="R21" s="29"/>
      <c r="S21" s="29"/>
      <c r="T21" s="29"/>
      <c r="U21" s="29"/>
      <c r="V21" s="29"/>
      <c r="W21" s="29"/>
    </row>
    <row r="22" spans="1:23">
      <c r="A22" s="29"/>
      <c r="B22" s="29"/>
      <c r="C22" s="29"/>
      <c r="D22" s="29"/>
      <c r="E22" s="29"/>
      <c r="F22" s="29"/>
      <c r="G22" s="29"/>
      <c r="H22" s="29"/>
      <c r="I22" s="29"/>
      <c r="J22" s="29"/>
      <c r="K22" s="29"/>
      <c r="L22" s="29"/>
      <c r="M22" s="29"/>
      <c r="N22" s="29"/>
      <c r="O22" s="29"/>
      <c r="P22" s="29"/>
      <c r="Q22" s="29"/>
      <c r="R22" s="29"/>
      <c r="S22" s="29"/>
      <c r="T22" s="29"/>
      <c r="U22" s="29"/>
      <c r="V22" s="29"/>
      <c r="W22" s="29"/>
    </row>
    <row r="23" spans="1:23">
      <c r="A23" s="29"/>
      <c r="B23" s="29"/>
      <c r="C23" s="29"/>
      <c r="D23" s="29"/>
      <c r="E23" s="29"/>
      <c r="F23" s="29"/>
      <c r="G23" s="29"/>
      <c r="H23" s="29"/>
      <c r="I23" s="29"/>
      <c r="J23" s="29"/>
      <c r="K23" s="29"/>
      <c r="L23" s="29"/>
      <c r="M23" s="29"/>
      <c r="N23" s="29"/>
      <c r="O23" s="29"/>
      <c r="P23" s="29"/>
      <c r="Q23" s="29"/>
      <c r="R23" s="29"/>
      <c r="S23" s="29"/>
      <c r="T23" s="29"/>
      <c r="U23" s="29"/>
      <c r="V23" s="29"/>
      <c r="W23" s="29"/>
    </row>
    <row r="24" spans="1:23">
      <c r="A24" s="29"/>
      <c r="B24" s="29"/>
      <c r="C24" s="29"/>
      <c r="D24" s="29"/>
      <c r="E24" s="29"/>
      <c r="F24" s="29"/>
      <c r="G24" s="29"/>
      <c r="H24" s="29"/>
      <c r="I24" s="29"/>
      <c r="J24" s="29"/>
      <c r="K24" s="29"/>
      <c r="L24" s="29"/>
      <c r="M24" s="29"/>
      <c r="N24" s="29"/>
      <c r="O24" s="29"/>
      <c r="P24" s="29"/>
      <c r="Q24" s="29"/>
      <c r="R24" s="29"/>
      <c r="S24" s="29"/>
      <c r="T24" s="29"/>
      <c r="U24" s="29"/>
      <c r="V24" s="29"/>
      <c r="W24" s="29"/>
    </row>
    <row r="25" spans="1:23">
      <c r="A25" s="29"/>
      <c r="B25" s="29"/>
      <c r="C25" s="29"/>
      <c r="D25" s="29"/>
      <c r="E25" s="29"/>
      <c r="F25" s="29"/>
      <c r="G25" s="29"/>
      <c r="H25" s="29"/>
      <c r="I25" s="29"/>
      <c r="J25" s="29"/>
      <c r="K25" s="29"/>
      <c r="L25" s="29"/>
      <c r="M25" s="29"/>
      <c r="N25" s="29"/>
      <c r="O25" s="29"/>
      <c r="P25" s="29"/>
      <c r="Q25" s="29"/>
      <c r="R25" s="29"/>
      <c r="S25" s="29"/>
      <c r="T25" s="29"/>
      <c r="U25" s="29"/>
      <c r="V25" s="29"/>
      <c r="W25" s="29"/>
    </row>
    <row r="26" spans="1:23">
      <c r="A26" s="29"/>
      <c r="B26" s="29"/>
      <c r="C26" s="29"/>
      <c r="D26" s="29"/>
      <c r="E26" s="29"/>
      <c r="F26" s="29"/>
      <c r="G26" s="29"/>
      <c r="H26" s="29"/>
      <c r="I26" s="29"/>
      <c r="J26" s="29"/>
      <c r="K26" s="29"/>
      <c r="L26" s="29"/>
      <c r="M26" s="29"/>
      <c r="N26" s="29"/>
      <c r="O26" s="29"/>
      <c r="P26" s="29"/>
      <c r="Q26" s="29"/>
      <c r="R26" s="29"/>
      <c r="S26" s="29"/>
      <c r="T26" s="29"/>
      <c r="U26" s="29"/>
      <c r="V26" s="29"/>
      <c r="W26" s="29"/>
    </row>
    <row r="27" spans="1:23">
      <c r="A27" s="29"/>
      <c r="B27" s="29"/>
      <c r="C27" s="29"/>
      <c r="D27" s="29"/>
      <c r="E27" s="29"/>
      <c r="F27" s="29"/>
      <c r="G27" s="29"/>
      <c r="H27" s="29"/>
      <c r="I27" s="29"/>
      <c r="J27" s="29"/>
      <c r="K27" s="29"/>
      <c r="L27" s="29"/>
      <c r="M27" s="29"/>
      <c r="N27" s="29"/>
      <c r="O27" s="29"/>
      <c r="P27" s="29"/>
      <c r="Q27" s="29"/>
      <c r="R27" s="29"/>
      <c r="S27" s="29"/>
      <c r="T27" s="29"/>
      <c r="U27" s="29"/>
      <c r="V27" s="29"/>
      <c r="W27" s="29"/>
    </row>
    <row r="28" spans="1:23">
      <c r="A28" s="29"/>
      <c r="B28" s="29"/>
      <c r="C28" s="29"/>
      <c r="D28" s="29"/>
      <c r="E28" s="29"/>
      <c r="F28" s="29"/>
      <c r="G28" s="29"/>
      <c r="H28" s="29"/>
      <c r="I28" s="29"/>
      <c r="J28" s="29"/>
      <c r="K28" s="29"/>
      <c r="L28" s="29"/>
      <c r="M28" s="29"/>
      <c r="N28" s="29"/>
      <c r="O28" s="29"/>
      <c r="P28" s="29"/>
      <c r="Q28" s="29"/>
      <c r="R28" s="29"/>
      <c r="S28" s="29"/>
      <c r="T28" s="29"/>
      <c r="U28" s="29"/>
      <c r="V28" s="29"/>
      <c r="W28" s="29"/>
    </row>
    <row r="29" spans="1:23">
      <c r="A29" s="29"/>
      <c r="B29" s="29"/>
      <c r="C29" s="29"/>
      <c r="D29" s="29"/>
      <c r="E29" s="29"/>
      <c r="F29" s="29"/>
      <c r="G29" s="29"/>
      <c r="H29" s="29"/>
      <c r="I29" s="29"/>
      <c r="J29" s="29"/>
      <c r="K29" s="29"/>
      <c r="L29" s="29"/>
      <c r="M29" s="29"/>
      <c r="N29" s="29"/>
      <c r="O29" s="29"/>
      <c r="P29" s="29"/>
      <c r="Q29" s="29"/>
      <c r="R29" s="29"/>
      <c r="S29" s="29"/>
      <c r="T29" s="29"/>
      <c r="U29" s="29"/>
      <c r="V29" s="29"/>
      <c r="W29" s="29"/>
    </row>
    <row r="30" spans="1:23">
      <c r="A30" s="29"/>
      <c r="B30" s="29"/>
      <c r="C30" s="29"/>
      <c r="D30" s="29"/>
      <c r="E30" s="29"/>
      <c r="F30" s="29"/>
      <c r="G30" s="29"/>
      <c r="H30" s="29"/>
      <c r="I30" s="29"/>
      <c r="J30" s="29"/>
      <c r="K30" s="29"/>
      <c r="L30" s="29"/>
      <c r="M30" s="29"/>
      <c r="N30" s="29"/>
      <c r="O30" s="29"/>
      <c r="P30" s="29"/>
      <c r="Q30" s="29"/>
      <c r="R30" s="29"/>
      <c r="S30" s="29"/>
      <c r="T30" s="29"/>
      <c r="U30" s="29"/>
      <c r="V30" s="29"/>
      <c r="W30" s="29"/>
    </row>
    <row r="31" spans="1:23">
      <c r="A31" s="29"/>
      <c r="B31" s="29"/>
      <c r="C31" s="29"/>
      <c r="D31" s="29"/>
      <c r="E31" s="29"/>
      <c r="F31" s="29"/>
      <c r="G31" s="29"/>
      <c r="H31" s="29"/>
      <c r="I31" s="29"/>
      <c r="J31" s="29"/>
      <c r="K31" s="29"/>
      <c r="L31" s="29"/>
      <c r="M31" s="29"/>
      <c r="N31" s="29"/>
      <c r="O31" s="29"/>
      <c r="P31" s="29"/>
      <c r="Q31" s="29"/>
      <c r="R31" s="29"/>
      <c r="S31" s="29"/>
      <c r="T31" s="29"/>
      <c r="U31" s="29"/>
      <c r="V31" s="29"/>
      <c r="W31" s="29"/>
    </row>
    <row r="32" spans="1:23">
      <c r="A32" s="29"/>
      <c r="B32" s="29"/>
      <c r="C32" s="29"/>
      <c r="D32" s="29"/>
      <c r="E32" s="29"/>
      <c r="F32" s="29"/>
      <c r="G32" s="29"/>
      <c r="H32" s="29"/>
      <c r="I32" s="29"/>
      <c r="J32" s="29"/>
      <c r="K32" s="29"/>
      <c r="L32" s="29"/>
      <c r="M32" s="29"/>
      <c r="N32" s="29"/>
      <c r="O32" s="29"/>
      <c r="P32" s="29"/>
      <c r="Q32" s="29"/>
      <c r="R32" s="29"/>
      <c r="S32" s="29"/>
      <c r="T32" s="29"/>
      <c r="U32" s="29"/>
      <c r="V32" s="29"/>
      <c r="W32" s="29"/>
    </row>
    <row r="33" spans="1:23">
      <c r="A33" s="29"/>
      <c r="B33" s="29"/>
      <c r="C33" s="29"/>
      <c r="D33" s="29"/>
      <c r="E33" s="29"/>
      <c r="F33" s="29"/>
      <c r="G33" s="29"/>
      <c r="H33" s="29"/>
      <c r="I33" s="29"/>
      <c r="J33" s="29"/>
      <c r="K33" s="29"/>
      <c r="L33" s="29"/>
      <c r="M33" s="29"/>
      <c r="N33" s="29"/>
      <c r="O33" s="29"/>
      <c r="P33" s="29"/>
      <c r="Q33" s="29"/>
      <c r="R33" s="29"/>
      <c r="S33" s="29"/>
      <c r="T33" s="29"/>
      <c r="U33" s="29"/>
      <c r="V33" s="29"/>
      <c r="W33" s="29"/>
    </row>
    <row r="34" spans="1:23">
      <c r="A34" s="29"/>
      <c r="B34" s="29"/>
      <c r="C34" s="29"/>
      <c r="D34" s="29"/>
      <c r="E34" s="29"/>
      <c r="F34" s="29"/>
      <c r="G34" s="29"/>
      <c r="H34" s="29"/>
      <c r="I34" s="29"/>
      <c r="J34" s="29"/>
      <c r="K34" s="29"/>
      <c r="L34" s="29"/>
      <c r="M34" s="29"/>
      <c r="N34" s="29"/>
      <c r="O34" s="29"/>
      <c r="P34" s="29"/>
      <c r="Q34" s="29"/>
      <c r="R34" s="29"/>
      <c r="S34" s="29"/>
      <c r="T34" s="29"/>
      <c r="U34" s="29"/>
      <c r="V34" s="29"/>
      <c r="W34" s="29"/>
    </row>
    <row r="35" spans="1:23">
      <c r="A35" s="29"/>
      <c r="B35" s="29"/>
      <c r="C35" s="29"/>
      <c r="D35" s="29"/>
      <c r="E35" s="29"/>
      <c r="F35" s="29"/>
      <c r="G35" s="29"/>
      <c r="H35" s="29"/>
      <c r="I35" s="29"/>
      <c r="J35" s="29"/>
      <c r="K35" s="29"/>
      <c r="L35" s="29"/>
      <c r="M35" s="29"/>
      <c r="N35" s="29"/>
      <c r="O35" s="29"/>
      <c r="P35" s="29"/>
      <c r="Q35" s="29"/>
      <c r="R35" s="29"/>
      <c r="S35" s="29"/>
      <c r="T35" s="29"/>
      <c r="U35" s="29"/>
      <c r="V35" s="29"/>
      <c r="W35" s="29"/>
    </row>
    <row r="36" spans="1:23">
      <c r="A36" s="29"/>
      <c r="B36" s="29"/>
      <c r="C36" s="29"/>
      <c r="D36" s="29"/>
      <c r="E36" s="29"/>
      <c r="F36" s="29"/>
      <c r="G36" s="29"/>
      <c r="H36" s="29"/>
      <c r="I36" s="29"/>
      <c r="J36" s="29"/>
      <c r="K36" s="29"/>
      <c r="L36" s="29"/>
      <c r="M36" s="29"/>
      <c r="N36" s="29"/>
      <c r="O36" s="29"/>
      <c r="P36" s="29"/>
      <c r="Q36" s="29"/>
      <c r="R36" s="29"/>
      <c r="S36" s="29"/>
      <c r="T36" s="29"/>
      <c r="U36" s="29"/>
      <c r="V36" s="29"/>
      <c r="W36" s="29"/>
    </row>
    <row r="37" spans="1:23">
      <c r="A37" s="29"/>
      <c r="B37" s="29"/>
      <c r="C37" s="29"/>
      <c r="D37" s="29"/>
      <c r="E37" s="29"/>
      <c r="F37" s="29"/>
      <c r="G37" s="29"/>
      <c r="H37" s="29"/>
      <c r="I37" s="29"/>
      <c r="J37" s="29"/>
      <c r="K37" s="29"/>
      <c r="L37" s="29"/>
      <c r="M37" s="29"/>
      <c r="N37" s="29"/>
      <c r="O37" s="29"/>
      <c r="P37" s="29"/>
      <c r="Q37" s="29"/>
      <c r="R37" s="29"/>
      <c r="S37" s="29"/>
      <c r="T37" s="29"/>
      <c r="U37" s="29"/>
      <c r="V37" s="29"/>
      <c r="W37" s="29"/>
    </row>
    <row r="38" spans="1:23">
      <c r="A38" s="29"/>
      <c r="B38" s="29"/>
      <c r="C38" s="29"/>
      <c r="D38" s="29"/>
      <c r="E38" s="29"/>
      <c r="F38" s="29"/>
      <c r="G38" s="29"/>
      <c r="H38" s="29"/>
      <c r="I38" s="29"/>
      <c r="J38" s="29"/>
      <c r="K38" s="29"/>
      <c r="L38" s="29"/>
      <c r="M38" s="29"/>
      <c r="N38" s="29"/>
      <c r="O38" s="29"/>
      <c r="P38" s="29"/>
      <c r="Q38" s="29"/>
      <c r="R38" s="29"/>
      <c r="S38" s="29"/>
      <c r="T38" s="29"/>
      <c r="U38" s="29"/>
      <c r="V38" s="29"/>
      <c r="W38" s="29"/>
    </row>
    <row r="39" spans="1:23">
      <c r="A39" s="29"/>
      <c r="B39" s="29"/>
      <c r="C39" s="29"/>
      <c r="D39" s="29"/>
      <c r="E39" s="29"/>
      <c r="F39" s="29"/>
      <c r="G39" s="29"/>
      <c r="H39" s="29"/>
      <c r="I39" s="29"/>
      <c r="J39" s="29"/>
      <c r="K39" s="29"/>
      <c r="L39" s="29"/>
      <c r="M39" s="29"/>
      <c r="N39" s="29"/>
      <c r="O39" s="29"/>
      <c r="P39" s="29"/>
      <c r="Q39" s="29"/>
      <c r="R39" s="29"/>
      <c r="S39" s="29"/>
      <c r="T39" s="29"/>
      <c r="U39" s="29"/>
      <c r="V39" s="29"/>
      <c r="W39" s="29"/>
    </row>
    <row r="40" spans="1:23">
      <c r="A40" s="29"/>
      <c r="B40" s="29"/>
      <c r="C40" s="29"/>
      <c r="D40" s="29"/>
      <c r="E40" s="29"/>
      <c r="F40" s="29"/>
      <c r="G40" s="29"/>
      <c r="H40" s="29"/>
      <c r="I40" s="29"/>
      <c r="J40" s="29"/>
      <c r="K40" s="29"/>
      <c r="L40" s="29"/>
      <c r="M40" s="29"/>
      <c r="N40" s="29"/>
      <c r="O40" s="29"/>
      <c r="P40" s="29"/>
      <c r="Q40" s="29"/>
      <c r="R40" s="29"/>
      <c r="S40" s="29"/>
      <c r="T40" s="29"/>
      <c r="U40" s="29"/>
      <c r="V40" s="29"/>
      <c r="W40" s="29"/>
    </row>
    <row r="41" spans="1:23">
      <c r="A41" s="29"/>
      <c r="B41" s="29"/>
      <c r="C41" s="29"/>
      <c r="D41" s="29"/>
      <c r="E41" s="29"/>
      <c r="F41" s="29"/>
      <c r="G41" s="29"/>
      <c r="H41" s="29"/>
      <c r="I41" s="29"/>
      <c r="J41" s="29"/>
      <c r="K41" s="29"/>
      <c r="L41" s="29"/>
      <c r="M41" s="29"/>
      <c r="N41" s="29"/>
      <c r="O41" s="29"/>
      <c r="P41" s="29"/>
      <c r="Q41" s="29"/>
      <c r="R41" s="29"/>
      <c r="S41" s="29"/>
      <c r="T41" s="29"/>
      <c r="U41" s="29"/>
      <c r="V41" s="29"/>
      <c r="W41" s="29"/>
    </row>
    <row r="42" spans="1:23">
      <c r="A42" s="29"/>
      <c r="B42" s="29"/>
      <c r="C42" s="29"/>
      <c r="D42" s="29"/>
      <c r="E42" s="29"/>
      <c r="F42" s="29"/>
      <c r="G42" s="29"/>
      <c r="H42" s="29"/>
      <c r="I42" s="29"/>
      <c r="J42" s="29"/>
      <c r="K42" s="29"/>
      <c r="L42" s="29"/>
      <c r="M42" s="29"/>
      <c r="N42" s="29"/>
      <c r="O42" s="29"/>
      <c r="P42" s="29"/>
      <c r="Q42" s="29"/>
      <c r="R42" s="29"/>
      <c r="S42" s="29"/>
      <c r="T42" s="29"/>
      <c r="U42" s="29"/>
      <c r="V42" s="29"/>
      <c r="W42" s="29"/>
    </row>
    <row r="43" spans="1:23">
      <c r="A43" s="29"/>
      <c r="B43" s="29"/>
      <c r="C43" s="29"/>
      <c r="D43" s="29"/>
      <c r="E43" s="29"/>
      <c r="F43" s="29"/>
      <c r="G43" s="29"/>
      <c r="H43" s="29"/>
      <c r="I43" s="29"/>
      <c r="J43" s="29"/>
      <c r="K43" s="29"/>
      <c r="L43" s="29"/>
      <c r="M43" s="29"/>
      <c r="N43" s="29"/>
      <c r="O43" s="29"/>
      <c r="P43" s="29"/>
      <c r="Q43" s="29"/>
      <c r="R43" s="29"/>
      <c r="S43" s="29"/>
      <c r="T43" s="29"/>
      <c r="U43" s="29"/>
      <c r="V43" s="29"/>
      <c r="W43" s="29"/>
    </row>
    <row r="44" spans="1:23">
      <c r="A44" s="29"/>
      <c r="B44" s="29"/>
      <c r="C44" s="29"/>
      <c r="D44" s="29"/>
      <c r="E44" s="29"/>
      <c r="F44" s="29"/>
      <c r="G44" s="29"/>
      <c r="H44" s="29"/>
      <c r="I44" s="29"/>
      <c r="J44" s="29"/>
      <c r="K44" s="29"/>
      <c r="L44" s="29"/>
      <c r="M44" s="29"/>
      <c r="N44" s="29"/>
      <c r="O44" s="29"/>
      <c r="P44" s="29"/>
      <c r="Q44" s="29"/>
      <c r="R44" s="29"/>
      <c r="S44" s="29"/>
      <c r="T44" s="29"/>
      <c r="U44" s="29"/>
      <c r="V44" s="29"/>
      <c r="W44" s="29"/>
    </row>
    <row r="45" spans="1:23">
      <c r="A45" s="29"/>
      <c r="B45" s="29"/>
      <c r="C45" s="29"/>
      <c r="D45" s="29"/>
      <c r="E45" s="29"/>
      <c r="F45" s="29"/>
      <c r="G45" s="29"/>
      <c r="H45" s="29"/>
      <c r="I45" s="29"/>
      <c r="J45" s="29"/>
      <c r="K45" s="29"/>
      <c r="L45" s="29"/>
      <c r="M45" s="29"/>
      <c r="N45" s="29"/>
      <c r="O45" s="29"/>
      <c r="P45" s="29"/>
      <c r="Q45" s="29"/>
      <c r="R45" s="29"/>
      <c r="S45" s="29"/>
      <c r="T45" s="29"/>
      <c r="U45" s="29"/>
      <c r="V45" s="29"/>
      <c r="W45" s="29"/>
    </row>
    <row r="46" spans="1:23">
      <c r="A46" s="29"/>
      <c r="B46" s="29"/>
      <c r="C46" s="29"/>
      <c r="D46" s="29"/>
      <c r="E46" s="29"/>
      <c r="F46" s="29"/>
      <c r="G46" s="29"/>
      <c r="H46" s="29"/>
      <c r="I46" s="29"/>
      <c r="J46" s="29"/>
      <c r="K46" s="29"/>
      <c r="L46" s="29"/>
      <c r="M46" s="29"/>
      <c r="N46" s="29"/>
      <c r="O46" s="29"/>
      <c r="P46" s="29"/>
      <c r="Q46" s="29"/>
      <c r="R46" s="29"/>
      <c r="S46" s="29"/>
      <c r="T46" s="29"/>
      <c r="U46" s="29"/>
      <c r="V46" s="29"/>
      <c r="W46" s="29"/>
    </row>
    <row r="47" spans="1:23">
      <c r="A47" s="29"/>
      <c r="B47" s="29"/>
      <c r="C47" s="29"/>
      <c r="D47" s="29"/>
      <c r="E47" s="29"/>
      <c r="F47" s="29"/>
      <c r="G47" s="29"/>
      <c r="H47" s="29"/>
      <c r="I47" s="29"/>
      <c r="J47" s="29"/>
      <c r="K47" s="29"/>
      <c r="L47" s="29"/>
      <c r="M47" s="29"/>
      <c r="N47" s="29"/>
      <c r="O47" s="29"/>
      <c r="P47" s="29"/>
      <c r="Q47" s="29"/>
      <c r="R47" s="29"/>
      <c r="S47" s="29"/>
      <c r="T47" s="29"/>
      <c r="U47" s="29"/>
      <c r="V47" s="29"/>
      <c r="W47" s="29"/>
    </row>
    <row r="48" spans="1:23">
      <c r="A48" s="29"/>
      <c r="B48" s="29"/>
      <c r="C48" s="29"/>
      <c r="D48" s="29"/>
      <c r="E48" s="29"/>
      <c r="F48" s="29"/>
      <c r="G48" s="29"/>
      <c r="H48" s="29"/>
      <c r="I48" s="29"/>
      <c r="J48" s="29"/>
      <c r="K48" s="29"/>
      <c r="L48" s="29"/>
      <c r="M48" s="29"/>
      <c r="N48" s="29"/>
      <c r="O48" s="29"/>
      <c r="P48" s="29"/>
      <c r="Q48" s="29"/>
      <c r="R48" s="29"/>
      <c r="S48" s="29"/>
      <c r="T48" s="29"/>
      <c r="U48" s="29"/>
      <c r="V48" s="29"/>
      <c r="W48" s="29"/>
    </row>
    <row r="49" spans="1:23">
      <c r="A49" s="29"/>
      <c r="B49" s="29"/>
      <c r="C49" s="29"/>
      <c r="D49" s="29"/>
      <c r="E49" s="29"/>
      <c r="F49" s="29"/>
      <c r="G49" s="29"/>
      <c r="H49" s="29"/>
      <c r="I49" s="29"/>
      <c r="J49" s="29"/>
      <c r="K49" s="29"/>
      <c r="L49" s="29"/>
      <c r="M49" s="29"/>
      <c r="N49" s="29"/>
      <c r="O49" s="29"/>
      <c r="P49" s="29"/>
      <c r="Q49" s="29"/>
      <c r="R49" s="29"/>
      <c r="S49" s="29"/>
      <c r="T49" s="29"/>
      <c r="U49" s="29"/>
      <c r="V49" s="29"/>
      <c r="W49" s="29"/>
    </row>
    <row r="50" spans="1:23">
      <c r="A50" s="29"/>
      <c r="B50" s="29"/>
      <c r="C50" s="29"/>
      <c r="D50" s="29"/>
      <c r="E50" s="29"/>
      <c r="F50" s="29"/>
      <c r="G50" s="29"/>
      <c r="H50" s="29"/>
      <c r="I50" s="29"/>
      <c r="J50" s="29"/>
      <c r="K50" s="29"/>
      <c r="L50" s="29"/>
      <c r="M50" s="29"/>
      <c r="N50" s="29"/>
      <c r="O50" s="29"/>
      <c r="P50" s="29"/>
      <c r="Q50" s="29"/>
      <c r="R50" s="29"/>
      <c r="S50" s="29"/>
      <c r="T50" s="29"/>
      <c r="U50" s="29"/>
      <c r="V50" s="29"/>
      <c r="W50" s="29"/>
    </row>
    <row r="51" spans="1:23">
      <c r="A51" s="29"/>
      <c r="B51" s="29"/>
      <c r="C51" s="29"/>
      <c r="D51" s="29"/>
      <c r="E51" s="29"/>
      <c r="F51" s="29"/>
      <c r="G51" s="29"/>
      <c r="H51" s="29"/>
      <c r="I51" s="29"/>
      <c r="J51" s="29"/>
      <c r="K51" s="29"/>
      <c r="L51" s="29"/>
      <c r="M51" s="29"/>
      <c r="N51" s="29"/>
      <c r="O51" s="29"/>
      <c r="P51" s="29"/>
      <c r="Q51" s="29"/>
      <c r="R51" s="29"/>
      <c r="S51" s="29"/>
      <c r="T51" s="29"/>
      <c r="U51" s="29"/>
      <c r="V51" s="29"/>
      <c r="W51" s="29"/>
    </row>
    <row r="52" spans="1:23">
      <c r="A52" s="29"/>
      <c r="B52" s="29"/>
      <c r="C52" s="29"/>
      <c r="D52" s="29"/>
      <c r="E52" s="29"/>
      <c r="F52" s="29"/>
      <c r="G52" s="29"/>
      <c r="H52" s="29"/>
      <c r="I52" s="29"/>
      <c r="J52" s="29"/>
      <c r="K52" s="29"/>
      <c r="L52" s="29"/>
      <c r="M52" s="29"/>
      <c r="N52" s="29"/>
      <c r="O52" s="29"/>
      <c r="P52" s="29"/>
      <c r="Q52" s="29"/>
      <c r="R52" s="29"/>
      <c r="S52" s="29"/>
      <c r="T52" s="29"/>
      <c r="U52" s="29"/>
      <c r="V52" s="29"/>
      <c r="W52" s="29"/>
    </row>
    <row r="53" spans="1:23">
      <c r="A53" s="29"/>
      <c r="B53" s="29"/>
      <c r="C53" s="29"/>
      <c r="D53" s="29"/>
      <c r="E53" s="29"/>
      <c r="F53" s="29"/>
      <c r="G53" s="29"/>
      <c r="H53" s="29"/>
      <c r="I53" s="29"/>
      <c r="J53" s="29"/>
      <c r="K53" s="29"/>
      <c r="L53" s="29"/>
      <c r="M53" s="29"/>
      <c r="N53" s="29"/>
      <c r="O53" s="29"/>
      <c r="P53" s="29"/>
      <c r="Q53" s="29"/>
      <c r="R53" s="29"/>
      <c r="S53" s="29"/>
      <c r="T53" s="29"/>
      <c r="U53" s="29"/>
      <c r="V53" s="29"/>
      <c r="W53" s="29"/>
    </row>
    <row r="54" spans="1:23">
      <c r="A54" s="29"/>
      <c r="B54" s="29"/>
      <c r="C54" s="29"/>
      <c r="D54" s="29"/>
      <c r="E54" s="29"/>
      <c r="F54" s="29"/>
      <c r="G54" s="29"/>
      <c r="H54" s="29"/>
      <c r="I54" s="29"/>
      <c r="J54" s="29"/>
      <c r="K54" s="29"/>
      <c r="L54" s="29"/>
      <c r="M54" s="29"/>
      <c r="N54" s="29"/>
      <c r="O54" s="29"/>
      <c r="P54" s="29"/>
      <c r="Q54" s="29"/>
      <c r="R54" s="29"/>
      <c r="S54" s="29"/>
      <c r="T54" s="29"/>
      <c r="U54" s="29"/>
      <c r="V54" s="29"/>
      <c r="W54" s="29"/>
    </row>
    <row r="55" spans="1:23">
      <c r="A55" s="29"/>
      <c r="B55" s="29"/>
      <c r="C55" s="29"/>
      <c r="D55" s="29"/>
      <c r="E55" s="29"/>
      <c r="F55" s="29"/>
      <c r="G55" s="29"/>
      <c r="H55" s="29"/>
      <c r="I55" s="29"/>
      <c r="J55" s="29"/>
      <c r="K55" s="29"/>
      <c r="L55" s="29"/>
      <c r="M55" s="29"/>
      <c r="N55" s="29"/>
      <c r="O55" s="29"/>
      <c r="P55" s="29"/>
      <c r="Q55" s="29"/>
      <c r="R55" s="29"/>
      <c r="S55" s="29"/>
      <c r="T55" s="29"/>
      <c r="U55" s="29"/>
      <c r="V55" s="29"/>
      <c r="W55" s="29"/>
    </row>
    <row r="56" spans="1:23">
      <c r="A56" s="29"/>
      <c r="B56" s="29"/>
      <c r="C56" s="29"/>
      <c r="D56" s="29"/>
      <c r="E56" s="29"/>
      <c r="F56" s="29"/>
      <c r="G56" s="29"/>
      <c r="H56" s="29"/>
      <c r="I56" s="29"/>
      <c r="J56" s="29"/>
      <c r="K56" s="29"/>
      <c r="L56" s="29"/>
      <c r="M56" s="29"/>
      <c r="N56" s="29"/>
      <c r="O56" s="29"/>
      <c r="P56" s="29"/>
      <c r="Q56" s="29"/>
      <c r="R56" s="29"/>
      <c r="S56" s="29"/>
      <c r="T56" s="29"/>
      <c r="U56" s="29"/>
      <c r="V56" s="29"/>
      <c r="W56" s="29"/>
    </row>
    <row r="57" spans="1:23">
      <c r="A57" s="29"/>
      <c r="B57" s="29"/>
      <c r="C57" s="29"/>
      <c r="D57" s="29"/>
      <c r="E57" s="29"/>
      <c r="F57" s="29"/>
      <c r="G57" s="29"/>
      <c r="H57" s="29"/>
      <c r="I57" s="29"/>
      <c r="J57" s="29"/>
      <c r="K57" s="29"/>
      <c r="L57" s="29"/>
      <c r="M57" s="29"/>
      <c r="N57" s="29"/>
      <c r="O57" s="29"/>
      <c r="P57" s="29"/>
      <c r="Q57" s="29"/>
      <c r="R57" s="29"/>
      <c r="S57" s="29"/>
      <c r="T57" s="29"/>
      <c r="U57" s="29"/>
      <c r="V57" s="29"/>
      <c r="W57" s="29"/>
    </row>
    <row r="58" spans="1:23">
      <c r="A58" s="29"/>
      <c r="B58" s="29"/>
      <c r="C58" s="29"/>
      <c r="D58" s="29"/>
      <c r="E58" s="29"/>
      <c r="F58" s="29"/>
      <c r="G58" s="29"/>
      <c r="H58" s="29"/>
      <c r="I58" s="29"/>
      <c r="J58" s="29"/>
      <c r="K58" s="29"/>
      <c r="L58" s="29"/>
      <c r="M58" s="29"/>
      <c r="N58" s="29"/>
      <c r="O58" s="29"/>
      <c r="P58" s="29"/>
      <c r="Q58" s="29"/>
      <c r="R58" s="29"/>
      <c r="S58" s="29"/>
      <c r="T58" s="29"/>
      <c r="U58" s="29"/>
      <c r="V58" s="29"/>
      <c r="W58" s="29"/>
    </row>
    <row r="59" spans="1:23">
      <c r="A59" s="29"/>
      <c r="B59" s="29"/>
      <c r="C59" s="29"/>
      <c r="D59" s="29"/>
      <c r="E59" s="29"/>
      <c r="F59" s="29"/>
      <c r="G59" s="29"/>
      <c r="H59" s="29"/>
      <c r="I59" s="29"/>
      <c r="J59" s="29"/>
      <c r="K59" s="29"/>
      <c r="L59" s="29"/>
      <c r="M59" s="29"/>
      <c r="N59" s="29"/>
      <c r="O59" s="29"/>
      <c r="P59" s="29"/>
      <c r="Q59" s="29"/>
      <c r="R59" s="29"/>
      <c r="S59" s="29"/>
      <c r="T59" s="29"/>
      <c r="U59" s="29"/>
      <c r="V59" s="29"/>
      <c r="W59" s="29"/>
    </row>
    <row r="60" spans="1:23">
      <c r="A60" s="29"/>
      <c r="B60" s="29"/>
      <c r="C60" s="29"/>
      <c r="D60" s="29"/>
      <c r="E60" s="29"/>
      <c r="F60" s="29"/>
      <c r="G60" s="29"/>
      <c r="H60" s="29"/>
      <c r="I60" s="29"/>
      <c r="J60" s="29"/>
      <c r="K60" s="29"/>
      <c r="L60" s="29"/>
      <c r="M60" s="29"/>
      <c r="N60" s="29"/>
      <c r="O60" s="29"/>
      <c r="P60" s="29"/>
      <c r="Q60" s="29"/>
      <c r="R60" s="29"/>
      <c r="S60" s="29"/>
      <c r="T60" s="29"/>
      <c r="U60" s="29"/>
      <c r="V60" s="29"/>
      <c r="W60" s="29"/>
    </row>
    <row r="61" spans="1:23">
      <c r="A61" s="29"/>
      <c r="B61" s="29"/>
      <c r="C61" s="29"/>
      <c r="D61" s="29"/>
      <c r="E61" s="29"/>
      <c r="F61" s="29"/>
      <c r="G61" s="29"/>
      <c r="H61" s="29"/>
      <c r="I61" s="29"/>
      <c r="J61" s="29"/>
      <c r="K61" s="29"/>
      <c r="L61" s="29"/>
      <c r="M61" s="29"/>
      <c r="N61" s="29"/>
      <c r="O61" s="29"/>
      <c r="P61" s="29"/>
      <c r="Q61" s="29"/>
      <c r="R61" s="29"/>
      <c r="S61" s="29"/>
      <c r="T61" s="29"/>
      <c r="U61" s="29"/>
      <c r="V61" s="29"/>
      <c r="W61" s="29"/>
    </row>
    <row r="62" spans="1:23">
      <c r="A62" s="29"/>
      <c r="B62" s="29"/>
      <c r="C62" s="29"/>
      <c r="D62" s="29"/>
      <c r="E62" s="29"/>
      <c r="F62" s="29"/>
      <c r="G62" s="29"/>
      <c r="H62" s="29"/>
      <c r="I62" s="29"/>
      <c r="J62" s="29"/>
      <c r="K62" s="29"/>
      <c r="L62" s="29"/>
      <c r="M62" s="29"/>
      <c r="N62" s="29"/>
      <c r="O62" s="29"/>
      <c r="P62" s="29"/>
      <c r="Q62" s="29"/>
      <c r="R62" s="29"/>
      <c r="S62" s="29"/>
      <c r="T62" s="29"/>
      <c r="U62" s="29"/>
      <c r="V62" s="29"/>
      <c r="W62" s="29"/>
    </row>
    <row r="63" spans="1:23">
      <c r="A63" s="29"/>
      <c r="B63" s="29"/>
      <c r="C63" s="29"/>
      <c r="D63" s="29"/>
      <c r="E63" s="29"/>
      <c r="F63" s="29"/>
      <c r="G63" s="29"/>
      <c r="H63" s="29"/>
      <c r="I63" s="29"/>
      <c r="J63" s="29"/>
      <c r="K63" s="29"/>
      <c r="L63" s="29"/>
      <c r="M63" s="29"/>
      <c r="N63" s="29"/>
      <c r="O63" s="29"/>
      <c r="P63" s="29"/>
      <c r="Q63" s="29"/>
      <c r="R63" s="29"/>
      <c r="S63" s="29"/>
      <c r="T63" s="29"/>
      <c r="U63" s="29"/>
      <c r="V63" s="29"/>
      <c r="W63" s="29"/>
    </row>
    <row r="64" spans="1:23">
      <c r="A64" s="29"/>
      <c r="B64" s="29"/>
      <c r="C64" s="29"/>
      <c r="D64" s="29"/>
      <c r="E64" s="29"/>
      <c r="F64" s="29"/>
      <c r="G64" s="29"/>
      <c r="H64" s="29"/>
      <c r="I64" s="29"/>
      <c r="J64" s="29"/>
      <c r="K64" s="29"/>
      <c r="L64" s="29"/>
      <c r="M64" s="29"/>
      <c r="N64" s="29"/>
      <c r="O64" s="29"/>
      <c r="P64" s="29"/>
      <c r="Q64" s="29"/>
      <c r="R64" s="29"/>
      <c r="S64" s="29"/>
      <c r="T64" s="29"/>
      <c r="U64" s="29"/>
      <c r="V64" s="29"/>
      <c r="W64" s="29"/>
    </row>
    <row r="65" spans="1:23">
      <c r="A65" s="29"/>
      <c r="B65" s="29"/>
      <c r="C65" s="29"/>
      <c r="D65" s="29"/>
      <c r="E65" s="29"/>
      <c r="F65" s="29"/>
      <c r="G65" s="29"/>
      <c r="H65" s="29"/>
      <c r="I65" s="29"/>
      <c r="J65" s="29"/>
      <c r="K65" s="29"/>
      <c r="L65" s="29"/>
      <c r="M65" s="29"/>
      <c r="N65" s="29"/>
      <c r="O65" s="29"/>
      <c r="P65" s="29"/>
      <c r="Q65" s="29"/>
      <c r="R65" s="29"/>
      <c r="S65" s="29"/>
      <c r="T65" s="29"/>
      <c r="U65" s="29"/>
      <c r="V65" s="29"/>
      <c r="W65" s="29"/>
    </row>
    <row r="66" spans="1:23">
      <c r="A66" s="29"/>
      <c r="B66" s="29"/>
      <c r="C66" s="29"/>
      <c r="D66" s="29"/>
      <c r="E66" s="29"/>
      <c r="F66" s="29"/>
      <c r="G66" s="29"/>
      <c r="H66" s="29"/>
      <c r="I66" s="29"/>
      <c r="J66" s="29"/>
      <c r="K66" s="29"/>
      <c r="L66" s="29"/>
      <c r="M66" s="29"/>
      <c r="N66" s="29"/>
      <c r="O66" s="29"/>
      <c r="P66" s="29"/>
      <c r="Q66" s="29"/>
      <c r="R66" s="29"/>
      <c r="S66" s="29"/>
      <c r="T66" s="29"/>
      <c r="U66" s="29"/>
      <c r="V66" s="29"/>
      <c r="W66" s="29"/>
    </row>
    <row r="67" spans="1:23">
      <c r="A67" s="29"/>
      <c r="B67" s="29"/>
      <c r="C67" s="29"/>
      <c r="D67" s="29"/>
      <c r="E67" s="29"/>
      <c r="F67" s="29"/>
      <c r="G67" s="29"/>
      <c r="H67" s="29"/>
      <c r="I67" s="29"/>
      <c r="J67" s="29"/>
      <c r="K67" s="29"/>
      <c r="L67" s="29"/>
      <c r="M67" s="29"/>
      <c r="N67" s="29"/>
      <c r="O67" s="29"/>
      <c r="P67" s="29"/>
      <c r="Q67" s="29"/>
      <c r="R67" s="29"/>
      <c r="S67" s="29"/>
      <c r="T67" s="29"/>
      <c r="U67" s="29"/>
      <c r="V67" s="29"/>
      <c r="W67" s="29"/>
    </row>
    <row r="68" spans="1:23">
      <c r="A68" s="29"/>
      <c r="B68" s="29"/>
      <c r="C68" s="29"/>
      <c r="D68" s="29"/>
      <c r="E68" s="29"/>
      <c r="F68" s="29"/>
      <c r="G68" s="29"/>
      <c r="H68" s="29"/>
      <c r="I68" s="29"/>
      <c r="J68" s="29"/>
      <c r="K68" s="29"/>
      <c r="L68" s="29"/>
      <c r="M68" s="29"/>
      <c r="N68" s="29"/>
      <c r="O68" s="29"/>
      <c r="P68" s="29"/>
      <c r="Q68" s="29"/>
      <c r="R68" s="29"/>
      <c r="S68" s="29"/>
      <c r="T68" s="29"/>
      <c r="U68" s="29"/>
      <c r="V68" s="29"/>
      <c r="W68" s="29"/>
    </row>
    <row r="69" spans="1:23">
      <c r="A69" s="29"/>
      <c r="B69" s="29"/>
      <c r="C69" s="29"/>
      <c r="D69" s="29"/>
      <c r="E69" s="29"/>
      <c r="F69" s="29"/>
      <c r="G69" s="29"/>
      <c r="H69" s="29"/>
      <c r="I69" s="29"/>
      <c r="J69" s="29"/>
      <c r="K69" s="29"/>
      <c r="L69" s="29"/>
      <c r="M69" s="29"/>
      <c r="N69" s="29"/>
      <c r="O69" s="29"/>
      <c r="P69" s="29"/>
      <c r="Q69" s="29"/>
      <c r="R69" s="29"/>
      <c r="S69" s="29"/>
      <c r="T69" s="29"/>
      <c r="U69" s="29"/>
      <c r="V69" s="29"/>
      <c r="W69" s="29"/>
    </row>
    <row r="70" spans="1:23">
      <c r="A70" s="29"/>
      <c r="B70" s="29"/>
      <c r="C70" s="29"/>
      <c r="D70" s="29"/>
      <c r="E70" s="29"/>
      <c r="F70" s="29"/>
      <c r="G70" s="29"/>
      <c r="H70" s="29"/>
      <c r="I70" s="29"/>
      <c r="J70" s="29"/>
      <c r="K70" s="29"/>
      <c r="L70" s="29"/>
      <c r="M70" s="29"/>
      <c r="N70" s="29"/>
      <c r="O70" s="29"/>
      <c r="P70" s="29"/>
      <c r="Q70" s="29"/>
      <c r="R70" s="29"/>
      <c r="S70" s="29"/>
      <c r="T70" s="29"/>
      <c r="U70" s="29"/>
      <c r="V70" s="29"/>
      <c r="W70" s="29"/>
    </row>
    <row r="71" spans="1:23">
      <c r="A71" s="29"/>
      <c r="B71" s="29"/>
      <c r="C71" s="29"/>
      <c r="D71" s="29"/>
      <c r="E71" s="29"/>
      <c r="F71" s="29"/>
      <c r="G71" s="29"/>
      <c r="H71" s="29"/>
      <c r="I71" s="29"/>
      <c r="J71" s="29"/>
      <c r="K71" s="29"/>
      <c r="L71" s="29"/>
      <c r="M71" s="29"/>
      <c r="N71" s="29"/>
      <c r="O71" s="29"/>
      <c r="P71" s="29"/>
      <c r="Q71" s="29"/>
      <c r="R71" s="29"/>
      <c r="S71" s="29"/>
      <c r="T71" s="29"/>
      <c r="U71" s="29"/>
      <c r="V71" s="29"/>
      <c r="W71" s="29"/>
    </row>
    <row r="72" spans="1:23">
      <c r="A72" s="29"/>
      <c r="B72" s="29"/>
      <c r="C72" s="29"/>
      <c r="D72" s="29"/>
      <c r="E72" s="29"/>
      <c r="F72" s="29"/>
      <c r="G72" s="29"/>
      <c r="H72" s="29"/>
      <c r="I72" s="29"/>
      <c r="J72" s="29"/>
      <c r="K72" s="29"/>
      <c r="L72" s="29"/>
      <c r="M72" s="29"/>
      <c r="N72" s="29"/>
      <c r="O72" s="29"/>
      <c r="P72" s="29"/>
      <c r="Q72" s="29"/>
      <c r="R72" s="29"/>
      <c r="S72" s="29"/>
      <c r="T72" s="29"/>
      <c r="U72" s="29"/>
      <c r="V72" s="29"/>
      <c r="W72" s="29"/>
    </row>
    <row r="73" spans="1:23">
      <c r="A73" s="29"/>
      <c r="B73" s="29"/>
      <c r="C73" s="29"/>
      <c r="D73" s="29"/>
      <c r="E73" s="29"/>
      <c r="F73" s="29"/>
      <c r="G73" s="29"/>
      <c r="H73" s="29"/>
      <c r="I73" s="29"/>
      <c r="J73" s="29"/>
      <c r="K73" s="29"/>
      <c r="L73" s="29"/>
      <c r="M73" s="29"/>
      <c r="N73" s="29"/>
      <c r="O73" s="29"/>
      <c r="P73" s="29"/>
      <c r="Q73" s="29"/>
      <c r="R73" s="29"/>
      <c r="S73" s="29"/>
      <c r="T73" s="29"/>
      <c r="U73" s="29"/>
      <c r="V73" s="29"/>
      <c r="W73" s="29"/>
    </row>
    <row r="74" spans="1:23">
      <c r="A74" s="29"/>
      <c r="B74" s="29"/>
      <c r="C74" s="29"/>
      <c r="D74" s="29"/>
      <c r="E74" s="29"/>
      <c r="F74" s="29"/>
      <c r="G74" s="29"/>
      <c r="H74" s="29"/>
      <c r="I74" s="29"/>
      <c r="J74" s="29"/>
      <c r="K74" s="29"/>
      <c r="L74" s="29"/>
      <c r="M74" s="29"/>
      <c r="N74" s="29"/>
      <c r="O74" s="29"/>
      <c r="P74" s="29"/>
      <c r="Q74" s="29"/>
      <c r="R74" s="29"/>
      <c r="S74" s="29"/>
      <c r="T74" s="29"/>
      <c r="U74" s="29"/>
      <c r="V74" s="29"/>
      <c r="W74" s="29"/>
    </row>
    <row r="75" spans="1:23">
      <c r="A75" s="29"/>
      <c r="B75" s="29"/>
      <c r="C75" s="29"/>
      <c r="D75" s="29"/>
      <c r="E75" s="29"/>
      <c r="F75" s="29"/>
      <c r="G75" s="29"/>
      <c r="H75" s="29"/>
      <c r="I75" s="29"/>
      <c r="J75" s="29"/>
      <c r="K75" s="29"/>
      <c r="L75" s="29"/>
      <c r="M75" s="29"/>
      <c r="N75" s="29"/>
      <c r="O75" s="29"/>
      <c r="P75" s="29"/>
      <c r="Q75" s="29"/>
      <c r="R75" s="29"/>
      <c r="S75" s="29"/>
      <c r="T75" s="29"/>
      <c r="U75" s="29"/>
      <c r="V75" s="29"/>
      <c r="W75" s="29"/>
    </row>
    <row r="76" spans="1:23">
      <c r="A76" s="29"/>
      <c r="B76" s="29"/>
      <c r="C76" s="29"/>
      <c r="D76" s="29"/>
      <c r="E76" s="29"/>
      <c r="F76" s="29"/>
      <c r="G76" s="29"/>
      <c r="H76" s="29"/>
      <c r="I76" s="29"/>
      <c r="J76" s="29"/>
      <c r="K76" s="29"/>
      <c r="L76" s="29"/>
      <c r="M76" s="29"/>
      <c r="N76" s="29"/>
      <c r="O76" s="29"/>
      <c r="P76" s="29"/>
      <c r="Q76" s="29"/>
      <c r="R76" s="29"/>
      <c r="S76" s="29"/>
      <c r="T76" s="29"/>
      <c r="U76" s="29"/>
      <c r="V76" s="29"/>
      <c r="W76" s="29"/>
    </row>
    <row r="77" spans="1:23">
      <c r="A77" s="29"/>
      <c r="B77" s="29"/>
      <c r="C77" s="29"/>
      <c r="D77" s="29"/>
      <c r="E77" s="29"/>
      <c r="F77" s="29"/>
      <c r="G77" s="29"/>
      <c r="H77" s="29"/>
      <c r="I77" s="29"/>
      <c r="J77" s="29"/>
      <c r="K77" s="29"/>
      <c r="L77" s="29"/>
      <c r="M77" s="29"/>
      <c r="N77" s="29"/>
      <c r="O77" s="29"/>
      <c r="P77" s="29"/>
      <c r="Q77" s="29"/>
      <c r="R77" s="29"/>
      <c r="S77" s="29"/>
      <c r="T77" s="29"/>
      <c r="U77" s="29"/>
      <c r="V77" s="29"/>
      <c r="W77" s="29"/>
    </row>
    <row r="78" spans="1:23">
      <c r="A78" s="29"/>
      <c r="B78" s="29"/>
      <c r="C78" s="29"/>
      <c r="D78" s="29"/>
      <c r="E78" s="29"/>
      <c r="F78" s="29"/>
      <c r="G78" s="29"/>
      <c r="H78" s="29"/>
      <c r="I78" s="29"/>
      <c r="J78" s="29"/>
      <c r="K78" s="29"/>
      <c r="L78" s="29"/>
      <c r="M78" s="29"/>
      <c r="N78" s="29"/>
      <c r="O78" s="29"/>
      <c r="P78" s="29"/>
      <c r="Q78" s="29"/>
      <c r="R78" s="29"/>
      <c r="S78" s="29"/>
      <c r="T78" s="29"/>
      <c r="U78" s="29"/>
      <c r="V78" s="29"/>
      <c r="W78" s="29"/>
    </row>
    <row r="79" spans="1:23">
      <c r="A79" s="29"/>
      <c r="B79" s="29"/>
      <c r="C79" s="29"/>
      <c r="D79" s="29"/>
      <c r="E79" s="29"/>
      <c r="F79" s="29"/>
      <c r="G79" s="29"/>
      <c r="H79" s="29"/>
      <c r="I79" s="29"/>
      <c r="J79" s="29"/>
      <c r="K79" s="29"/>
      <c r="L79" s="29"/>
      <c r="M79" s="29"/>
      <c r="N79" s="29"/>
      <c r="O79" s="29"/>
      <c r="P79" s="29"/>
      <c r="Q79" s="29"/>
      <c r="R79" s="29"/>
      <c r="S79" s="29"/>
      <c r="T79" s="29"/>
      <c r="U79" s="29"/>
      <c r="V79" s="29"/>
      <c r="W79" s="29"/>
    </row>
    <row r="80" spans="1:23">
      <c r="A80" s="29"/>
      <c r="B80" s="29"/>
      <c r="C80" s="29"/>
      <c r="D80" s="29"/>
      <c r="E80" s="29"/>
      <c r="F80" s="29"/>
      <c r="G80" s="29"/>
      <c r="H80" s="29"/>
      <c r="I80" s="29"/>
      <c r="J80" s="29"/>
      <c r="K80" s="29"/>
      <c r="L80" s="29"/>
      <c r="M80" s="29"/>
      <c r="N80" s="29"/>
      <c r="O80" s="29"/>
      <c r="P80" s="29"/>
      <c r="Q80" s="29"/>
      <c r="R80" s="29"/>
      <c r="S80" s="29"/>
      <c r="T80" s="29"/>
      <c r="U80" s="29"/>
      <c r="V80" s="29"/>
      <c r="W80" s="29"/>
    </row>
  </sheetData>
  <sheetProtection sheet="1" objects="1" scenarios="1"/>
  <pageMargins left="0.7" right="0.7" top="0.75" bottom="0.75" header="0.3" footer="0.3"/>
  <pageSetup paperSize="9"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E12F2-4A4B-FD41-90B5-0065696A995A}">
  <sheetPr codeName="Blad6"/>
  <dimension ref="A1:P644"/>
  <sheetViews>
    <sheetView workbookViewId="0">
      <selection activeCell="C1" sqref="C1"/>
    </sheetView>
  </sheetViews>
  <sheetFormatPr baseColWidth="10" defaultRowHeight="16"/>
  <cols>
    <col min="3" max="4" width="10.83203125" style="39"/>
    <col min="5" max="5" width="8.1640625" style="29" customWidth="1"/>
    <col min="6" max="6" width="25.33203125" style="15" customWidth="1"/>
    <col min="7" max="7" width="10.83203125" style="15"/>
    <col min="8" max="8" width="14.1640625" style="15" customWidth="1"/>
    <col min="9" max="15" width="10.83203125" style="15"/>
    <col min="16" max="16" width="10.83203125" style="16"/>
  </cols>
  <sheetData>
    <row r="1" spans="1:12">
      <c r="A1" t="s">
        <v>136</v>
      </c>
      <c r="C1" s="40"/>
      <c r="G1" s="22"/>
    </row>
    <row r="2" spans="1:12">
      <c r="C2" s="40"/>
      <c r="G2" s="22"/>
    </row>
    <row r="3" spans="1:12" ht="17" thickBot="1">
      <c r="A3" s="41" t="s">
        <v>112</v>
      </c>
      <c r="B3" s="42" t="s">
        <v>40</v>
      </c>
      <c r="C3" s="40"/>
      <c r="E3" s="26"/>
      <c r="G3" s="22"/>
    </row>
    <row r="4" spans="1:12" ht="22" thickBot="1">
      <c r="A4" s="43">
        <v>1</v>
      </c>
      <c r="B4" s="43" t="str">
        <f>IF(ISBLANK(Equations!B2),"",Equations!B2)</f>
        <v>{Re}</v>
      </c>
      <c r="C4" s="40"/>
      <c r="E4" s="27"/>
      <c r="F4" s="72" t="s">
        <v>115</v>
      </c>
      <c r="G4" s="32">
        <v>2</v>
      </c>
      <c r="H4" s="21"/>
    </row>
    <row r="5" spans="1:12">
      <c r="A5" s="43">
        <v>2</v>
      </c>
      <c r="B5" s="43" t="str">
        <f>IF(ISBLANK(Equations!B3),"",Equations!B3)</f>
        <v>{Ar}</v>
      </c>
      <c r="C5" s="40"/>
      <c r="E5" s="28"/>
      <c r="F5" s="73"/>
      <c r="G5" s="23"/>
    </row>
    <row r="6" spans="1:12">
      <c r="A6" s="43">
        <v>3</v>
      </c>
      <c r="B6" s="43" t="str">
        <f>IF(ISBLANK(Equations!B4),"",Equations!B4)</f>
        <v/>
      </c>
      <c r="C6" s="40"/>
      <c r="E6" s="28"/>
      <c r="F6" s="33"/>
      <c r="G6" s="23"/>
    </row>
    <row r="7" spans="1:12" ht="21">
      <c r="A7" s="43">
        <v>4</v>
      </c>
      <c r="B7" s="43" t="str">
        <f>IF(ISBLANK(Equations!B5),"",Equations!B5)</f>
        <v/>
      </c>
      <c r="C7" s="40"/>
      <c r="E7" s="27"/>
      <c r="F7" s="17" t="s">
        <v>116</v>
      </c>
      <c r="G7" s="18" t="str">
        <f ca="1">INDIRECT("B" &amp; G4+3)</f>
        <v>{Ar}</v>
      </c>
    </row>
    <row r="8" spans="1:12" ht="21">
      <c r="A8" s="43">
        <v>5</v>
      </c>
      <c r="B8" s="43" t="str">
        <f>IF(ISBLANK(Equations!B6),"",Equations!B6)</f>
        <v/>
      </c>
      <c r="C8" s="40"/>
      <c r="E8" s="27"/>
      <c r="F8" s="17"/>
      <c r="G8" s="18"/>
    </row>
    <row r="9" spans="1:12">
      <c r="A9" s="43">
        <v>6</v>
      </c>
      <c r="B9" s="43" t="str">
        <f>IF(ISBLANK(Equations!B7),"",Equations!B7)</f>
        <v/>
      </c>
      <c r="C9" s="40"/>
      <c r="E9" s="27"/>
    </row>
    <row r="10" spans="1:12" ht="21">
      <c r="A10" s="43">
        <v>7</v>
      </c>
      <c r="B10" s="43" t="str">
        <f>IF(ISBLANK(Equations!B8),"",Equations!B8)</f>
        <v/>
      </c>
      <c r="C10" s="40"/>
      <c r="E10" s="27"/>
      <c r="F10" s="19" t="s">
        <v>118</v>
      </c>
    </row>
    <row r="11" spans="1:12">
      <c r="A11" s="43">
        <v>8</v>
      </c>
      <c r="B11" s="43" t="str">
        <f>IF(ISBLANK(Equations!B9),"",Equations!B9)</f>
        <v/>
      </c>
      <c r="C11" s="40"/>
      <c r="F11" s="20" t="s">
        <v>113</v>
      </c>
    </row>
    <row r="12" spans="1:12" ht="17" thickBot="1">
      <c r="A12" s="43">
        <v>9</v>
      </c>
      <c r="B12" s="43" t="str">
        <f>IF(ISBLANK(Equations!B10),"",Equations!B10)</f>
        <v/>
      </c>
      <c r="C12" s="40"/>
      <c r="E12" s="27"/>
      <c r="F12" s="24"/>
      <c r="G12" s="22"/>
      <c r="H12" s="22"/>
      <c r="I12" s="22"/>
      <c r="J12" s="22"/>
      <c r="K12" s="22"/>
    </row>
    <row r="13" spans="1:12" ht="16" customHeight="1">
      <c r="A13" s="43">
        <v>10</v>
      </c>
      <c r="B13" s="43" t="str">
        <f>IF(ISBLANK(Equations!B11),"",Equations!B11)</f>
        <v/>
      </c>
      <c r="C13" s="40"/>
      <c r="E13" s="27"/>
      <c r="F13" s="63" t="str">
        <f ca="1">CONCATENATE(INDIRECT("Equations!$C$"&amp;'Code per Equation'!$G$4+1),
CHAR(13),
CHAR(10),
"\begin{definitions}",
CHAR(13),
CHAR(10),
IF(StepinBetween!A2="","",StepinBetween!A2),
IF(StepinBetween!A3="","",CHAR(13)),
IF(StepinBetween!A3="","",CHAR(10)),
IF(StepinBetween!A3="","",StepinBetween!A3),
IF(StepinBetween!A4="","",CHAR(13)),
IF(StepinBetween!A4="","",CHAR(10)),
IF(StepinBetween!A4="","",StepinBetween!A4),
IF(StepinBetween!A5="","",CHAR(13)),
IF(StepinBetween!A5="","",CHAR(10)),
IF(StepinBetween!A5="","",StepinBetween!A5),
IF(StepinBetween!A6="","",CHAR(13)),
IF(StepinBetween!A6="","",CHAR(10)),
IF(StepinBetween!A6="","",StepinBetween!A6),
IF(StepinBetween!A7="","",CHAR(13)),
IF(StepinBetween!A7="","",CHAR(10)),
IF(StepinBetween!A7="","",StepinBetween!A7),
IF(StepinBetween!A8="","",CHAR(13)),
IF(StepinBetween!A8="","",CHAR(10)),
IF(StepinBetween!A8="","",StepinBetween!A8),
IF(StepinBetween!A9="","",CHAR(13)),
IF(StepinBetween!A9="","",CHAR(10)),
IF(StepinBetween!A9="","",StepinBetween!A9),
IF(StepinBetween!A10="","",CHAR(13)),
IF(StepinBetween!A10="","",CHAR(10)),
IF(StepinBetween!A10="","",StepinBetween!A10),
IF(StepinBetween!A11="","",CHAR(13)),
IF(StepinBetween!A11="","",CHAR(10)),
IF(StepinBetween!A11="","",StepinBetween!A11),
IF(StepinBetween!A12="","",CHAR(13)),
IF(StepinBetween!A12="","",CHAR(10)),
IF(StepinBetween!A12="","",StepinBetween!A12),
IF(StepinBetween!A13="","",CHAR(13)),
IF(StepinBetween!A13="","",CHAR(10)),
IF(StepinBetween!A13="","",StepinBetween!A13),
IF(StepinBetween!A14="","",CHAR(13)),
IF(StepinBetween!A14="","",CHAR(10)),
IF(StepinBetween!A14="","",StepinBetween!A14),
IF(StepinBetween!A15="","",CHAR(13)),
IF(StepinBetween!A15="","",CHAR(10)),
IF(StepinBetween!A15="","",StepinBetween!A15),
IF(StepinBetween!A16="","",CHAR(13)),
IF(StepinBetween!A16="","",CHAR(10)),
IF(StepinBetween!A16="","",StepinBetween!A16),
IF(StepinBetween!A17="","",CHAR(13)),
IF(StepinBetween!A17="","",CHAR(10)),
IF(StepinBetween!A17="","",StepinBetween!A17),
IF(StepinBetween!A18="","",CHAR(13)),
IF(StepinBetween!A18="","",CHAR(10)),
IF(StepinBetween!A18="","",StepinBetween!A18),
IF(StepinBetween!A18="","",CHAR(13)),
IF(StepinBetween!A18="","",CHAR(10)),
IF(StepinBetween!A18="","",StepinBetween!A18),
IF(StepinBetween!A18="","",CHAR(13)),
IF(StepinBetween!A18="","",CHAR(10)),
IF(StepinBetween!A18="","",StepinBetween!A18),
IF(StepinBetween!A21="","",CHAR(13)),
IF(StepinBetween!A21="","",CHAR(10)),
IF(StepinBetween!A21="","",StepinBetween!A21),
IF(StepinBetween!A22="","",CHAR(13)),
IF(StepinBetween!A22="","",CHAR(10)),
IF(StepinBetween!A22="","",StepinBetween!A22),
IF(StepinBetween!A23="","",CHAR(13)),
IF(StepinBetween!A23="","",CHAR(10)),
IF(StepinBetween!A23="","",StepinBetween!A23),
IF(StepinBetween!A24="","",CHAR(13)),
IF(StepinBetween!A24="","",CHAR(10)),
IF(StepinBetween!A24="","",StepinBetween!A24),
IF(StepinBetween!A25="","",CHAR(13)),
IF(StepinBetween!A25="","",CHAR(10)),
IF(StepinBetween!A25="","",StepinBetween!A25),
IF(StepinBetween!A26="","",CHAR(13)),
IF(StepinBetween!A26="","",CHAR(10)),
IF(StepinBetween!A26="","",StepinBetween!A26),
IF(StepinBetween!A27="","",CHAR(13)),
IF(StepinBetween!A27="","",CHAR(10)),
IF(StepinBetween!A27="","",StepinBetween!A27),
IF(StepinBetween!A28="","",CHAR(13)),
IF(StepinBetween!A28="","",CHAR(10)),
IF(StepinBetween!A28="","",StepinBetween!A28),
IF(StepinBetween!A29="","",CHAR(13)),
IF(StepinBetween!A29="","",CHAR(10)),
IF(StepinBetween!A29="","",StepinBetween!A29),
IF(StepinBetween!A30="","",CHAR(13)),
IF(StepinBetween!A30="","",CHAR(10)),
IF(StepinBetween!A30="","",StepinBetween!A30),
IF(StepinBetween!A31="","",CHAR(13)),
IF(StepinBetween!A31="","",CHAR(10)),
IF(StepinBetween!A31="","",StepinBetween!A31),
IF(StepinBetween!A32="","",CHAR(13)),
IF(StepinBetween!A32="","",CHAR(10)),
IF(StepinBetween!A32="","",StepinBetween!A32),
IF(StepinBetween!A33="","",CHAR(13)),
IF(StepinBetween!A33="","",CHAR(10)),
IF(StepinBetween!A33="","",StepinBetween!A33),
IF(StepinBetween!A34="","",CHAR(13)),
IF(StepinBetween!A34="","",CHAR(10)),
IF(StepinBetween!A34="","",StepinBetween!A34),
IF(StepinBetween!A35="","",CHAR(13)),
IF(StepinBetween!A35="","",CHAR(10)),
IF(StepinBetween!A35="","",StepinBetween!A35),
IF(StepinBetween!A36="","",CHAR(13)),
IF(StepinBetween!A36="","",CHAR(10)),
IF(StepinBetween!A36="","",StepinBetween!A36),
IF(StepinBetween!A37="","",CHAR(13)),
IF(StepinBetween!A37="","",CHAR(10)),
IF(StepinBetween!A37="","",StepinBetween!A37),
IF(StepinBetween!A38="","",CHAR(13)),
IF(StepinBetween!A38="","",CHAR(10)),
IF(StepinBetween!A38="","",StepinBetween!A38),
IF(StepinBetween!A39="","",CHAR(13)),
IF(StepinBetween!A39="","",CHAR(10)),
IF(StepinBetween!A39="","",StepinBetween!A39),
IF(StepinBetween!A40="","",CHAR(13)),
IF(StepinBetween!A40="","",CHAR(10)),
IF(StepinBetween!A40="","",StepinBetween!A40),
CHAR(13),
CHAR(10),
"\end{definitions}")</f>
        <v>\begin{equation}
\text{Ar} = \frac {{g}{L}^{3}{\rho_\ell}\left({\rho_b}-{\rho_\ell}\right)}{{\mu}^{2}}
\equationunit{[\si{\nodimension}]}
\end{equation}_x000D_
\begin{definitions}_x000D_
g &amp; \Eg \\_x000D_
L &amp; \EL \\_x000D_
\mu &amp; \Emu \\_x000D_
\rho_b &amp; \Erhobody \\_x000D_
\rho_\ell &amp; \Erholiquid \\_x000D_
\end{definitions}</v>
      </c>
      <c r="G13" s="64"/>
      <c r="H13" s="64"/>
      <c r="I13" s="64"/>
      <c r="J13" s="64"/>
      <c r="K13" s="65"/>
      <c r="L13" s="21"/>
    </row>
    <row r="14" spans="1:12">
      <c r="A14" s="43">
        <v>11</v>
      </c>
      <c r="B14" s="43" t="str">
        <f>IF(ISBLANK(Equations!B12),"",Equations!B12)</f>
        <v/>
      </c>
      <c r="C14" s="40"/>
      <c r="E14" s="27"/>
      <c r="F14" s="66"/>
      <c r="G14" s="67"/>
      <c r="H14" s="67"/>
      <c r="I14" s="67"/>
      <c r="J14" s="67"/>
      <c r="K14" s="68"/>
      <c r="L14" s="21"/>
    </row>
    <row r="15" spans="1:12">
      <c r="A15" s="43">
        <v>12</v>
      </c>
      <c r="B15" s="43" t="str">
        <f>IF(ISBLANK(Equations!B13),"",Equations!B13)</f>
        <v/>
      </c>
      <c r="C15" s="40"/>
      <c r="E15" s="27"/>
      <c r="F15" s="66"/>
      <c r="G15" s="67"/>
      <c r="H15" s="67"/>
      <c r="I15" s="67"/>
      <c r="J15" s="67"/>
      <c r="K15" s="68"/>
      <c r="L15" s="21"/>
    </row>
    <row r="16" spans="1:12">
      <c r="A16" s="43">
        <v>13</v>
      </c>
      <c r="B16" s="43" t="str">
        <f>IF(ISBLANK(Equations!B14),"",Equations!B14)</f>
        <v/>
      </c>
      <c r="C16" s="40"/>
      <c r="E16" s="27"/>
      <c r="F16" s="66"/>
      <c r="G16" s="67"/>
      <c r="H16" s="67"/>
      <c r="I16" s="67"/>
      <c r="J16" s="67"/>
      <c r="K16" s="68"/>
      <c r="L16" s="21"/>
    </row>
    <row r="17" spans="1:12">
      <c r="A17" s="43">
        <v>14</v>
      </c>
      <c r="B17" s="43" t="str">
        <f>IF(ISBLANK(Equations!B15),"",Equations!B15)</f>
        <v/>
      </c>
      <c r="C17" s="40"/>
      <c r="E17" s="27"/>
      <c r="F17" s="66"/>
      <c r="G17" s="67"/>
      <c r="H17" s="67"/>
      <c r="I17" s="67"/>
      <c r="J17" s="67"/>
      <c r="K17" s="68"/>
      <c r="L17" s="21"/>
    </row>
    <row r="18" spans="1:12">
      <c r="A18" s="43">
        <v>15</v>
      </c>
      <c r="B18" s="43" t="str">
        <f>IF(ISBLANK(Equations!B16),"",Equations!B16)</f>
        <v/>
      </c>
      <c r="C18" s="40"/>
      <c r="E18" s="27"/>
      <c r="F18" s="66"/>
      <c r="G18" s="67"/>
      <c r="H18" s="67"/>
      <c r="I18" s="67"/>
      <c r="J18" s="67"/>
      <c r="K18" s="68"/>
      <c r="L18" s="21"/>
    </row>
    <row r="19" spans="1:12">
      <c r="A19" s="43">
        <v>16</v>
      </c>
      <c r="B19" s="43" t="str">
        <f>IF(ISBLANK(Equations!B17),"",Equations!B17)</f>
        <v/>
      </c>
      <c r="C19" s="40"/>
      <c r="E19" s="27"/>
      <c r="F19" s="66"/>
      <c r="G19" s="67"/>
      <c r="H19" s="67"/>
      <c r="I19" s="67"/>
      <c r="J19" s="67"/>
      <c r="K19" s="68"/>
      <c r="L19" s="21"/>
    </row>
    <row r="20" spans="1:12">
      <c r="A20" s="43">
        <v>17</v>
      </c>
      <c r="B20" s="43" t="str">
        <f>IF(ISBLANK(Equations!B18),"",Equations!B18)</f>
        <v/>
      </c>
      <c r="C20" s="40"/>
      <c r="E20" s="27"/>
      <c r="F20" s="66"/>
      <c r="G20" s="67"/>
      <c r="H20" s="67"/>
      <c r="I20" s="67"/>
      <c r="J20" s="67"/>
      <c r="K20" s="68"/>
      <c r="L20" s="21"/>
    </row>
    <row r="21" spans="1:12">
      <c r="A21" s="43">
        <v>18</v>
      </c>
      <c r="B21" s="43" t="str">
        <f>IF(ISBLANK(Equations!B19),"",Equations!B19)</f>
        <v/>
      </c>
      <c r="C21" s="40"/>
      <c r="E21" s="27"/>
      <c r="F21" s="66"/>
      <c r="G21" s="67"/>
      <c r="H21" s="67"/>
      <c r="I21" s="67"/>
      <c r="J21" s="67"/>
      <c r="K21" s="68"/>
      <c r="L21" s="21"/>
    </row>
    <row r="22" spans="1:12">
      <c r="A22" s="43">
        <v>19</v>
      </c>
      <c r="B22" s="43" t="str">
        <f>IF(ISBLANK(Equations!B20),"",Equations!B20)</f>
        <v/>
      </c>
      <c r="C22" s="40"/>
      <c r="E22" s="27"/>
      <c r="F22" s="66"/>
      <c r="G22" s="67"/>
      <c r="H22" s="67"/>
      <c r="I22" s="67"/>
      <c r="J22" s="67"/>
      <c r="K22" s="68"/>
      <c r="L22" s="21"/>
    </row>
    <row r="23" spans="1:12">
      <c r="A23" s="43">
        <v>20</v>
      </c>
      <c r="B23" s="43" t="str">
        <f>IF(ISBLANK(Equations!B21),"",Equations!B21)</f>
        <v/>
      </c>
      <c r="C23" s="40"/>
      <c r="E23" s="27"/>
      <c r="F23" s="66"/>
      <c r="G23" s="67"/>
      <c r="H23" s="67"/>
      <c r="I23" s="67"/>
      <c r="J23" s="67"/>
      <c r="K23" s="68"/>
      <c r="L23" s="21"/>
    </row>
    <row r="24" spans="1:12">
      <c r="A24" s="43">
        <v>21</v>
      </c>
      <c r="B24" s="43" t="str">
        <f>IF(ISBLANK(Equations!B22),"",Equations!B22)</f>
        <v/>
      </c>
      <c r="C24" s="40"/>
      <c r="E24" s="27"/>
      <c r="F24" s="66"/>
      <c r="G24" s="67"/>
      <c r="H24" s="67"/>
      <c r="I24" s="67"/>
      <c r="J24" s="67"/>
      <c r="K24" s="68"/>
      <c r="L24" s="21"/>
    </row>
    <row r="25" spans="1:12">
      <c r="A25" s="43">
        <v>22</v>
      </c>
      <c r="B25" s="43" t="str">
        <f>IF(ISBLANK(Equations!B23),"",Equations!B23)</f>
        <v/>
      </c>
      <c r="C25" s="40"/>
      <c r="E25" s="27"/>
      <c r="F25" s="66"/>
      <c r="G25" s="67"/>
      <c r="H25" s="67"/>
      <c r="I25" s="67"/>
      <c r="J25" s="67"/>
      <c r="K25" s="68"/>
      <c r="L25" s="21"/>
    </row>
    <row r="26" spans="1:12">
      <c r="A26" s="43">
        <v>23</v>
      </c>
      <c r="B26" s="43" t="str">
        <f>IF(ISBLANK(Equations!B24),"",Equations!B24)</f>
        <v/>
      </c>
      <c r="C26" s="40"/>
      <c r="E26" s="27"/>
      <c r="F26" s="66"/>
      <c r="G26" s="67"/>
      <c r="H26" s="67"/>
      <c r="I26" s="67"/>
      <c r="J26" s="67"/>
      <c r="K26" s="68"/>
      <c r="L26" s="21"/>
    </row>
    <row r="27" spans="1:12">
      <c r="A27" s="43">
        <v>24</v>
      </c>
      <c r="B27" s="43" t="str">
        <f>IF(ISBLANK(Equations!B25),"",Equations!B25)</f>
        <v/>
      </c>
      <c r="C27" s="40"/>
      <c r="E27" s="27"/>
      <c r="F27" s="66"/>
      <c r="G27" s="67"/>
      <c r="H27" s="67"/>
      <c r="I27" s="67"/>
      <c r="J27" s="67"/>
      <c r="K27" s="68"/>
      <c r="L27" s="21"/>
    </row>
    <row r="28" spans="1:12">
      <c r="A28" s="43">
        <v>25</v>
      </c>
      <c r="B28" s="43" t="str">
        <f>IF(ISBLANK(Equations!B26),"",Equations!B26)</f>
        <v/>
      </c>
      <c r="C28" s="40"/>
      <c r="E28" s="27"/>
      <c r="F28" s="66"/>
      <c r="G28" s="67"/>
      <c r="H28" s="67"/>
      <c r="I28" s="67"/>
      <c r="J28" s="67"/>
      <c r="K28" s="68"/>
      <c r="L28" s="21"/>
    </row>
    <row r="29" spans="1:12">
      <c r="A29" s="43">
        <v>26</v>
      </c>
      <c r="B29" s="43" t="str">
        <f>IF(ISBLANK(Equations!B27),"",Equations!B27)</f>
        <v/>
      </c>
      <c r="C29" s="40"/>
      <c r="E29" s="27"/>
      <c r="F29" s="66"/>
      <c r="G29" s="67"/>
      <c r="H29" s="67"/>
      <c r="I29" s="67"/>
      <c r="J29" s="67"/>
      <c r="K29" s="68"/>
      <c r="L29" s="21"/>
    </row>
    <row r="30" spans="1:12">
      <c r="A30" s="43">
        <v>27</v>
      </c>
      <c r="B30" s="43" t="str">
        <f>IF(ISBLANK(Equations!B28),"",Equations!B28)</f>
        <v/>
      </c>
      <c r="C30" s="40"/>
      <c r="E30" s="27"/>
      <c r="F30" s="66"/>
      <c r="G30" s="67"/>
      <c r="H30" s="67"/>
      <c r="I30" s="67"/>
      <c r="J30" s="67"/>
      <c r="K30" s="68"/>
      <c r="L30" s="21"/>
    </row>
    <row r="31" spans="1:12">
      <c r="A31" s="43">
        <v>28</v>
      </c>
      <c r="B31" s="43" t="str">
        <f>IF(ISBLANK(Equations!B29),"",Equations!B29)</f>
        <v/>
      </c>
      <c r="C31" s="40"/>
      <c r="E31" s="27"/>
      <c r="F31" s="66"/>
      <c r="G31" s="67"/>
      <c r="H31" s="67"/>
      <c r="I31" s="67"/>
      <c r="J31" s="67"/>
      <c r="K31" s="68"/>
      <c r="L31" s="21"/>
    </row>
    <row r="32" spans="1:12">
      <c r="A32" s="43">
        <v>29</v>
      </c>
      <c r="B32" s="43" t="str">
        <f>IF(ISBLANK(Equations!B30),"",Equations!B30)</f>
        <v/>
      </c>
      <c r="C32" s="40"/>
      <c r="E32" s="27"/>
      <c r="F32" s="66"/>
      <c r="G32" s="67"/>
      <c r="H32" s="67"/>
      <c r="I32" s="67"/>
      <c r="J32" s="67"/>
      <c r="K32" s="68"/>
      <c r="L32" s="21"/>
    </row>
    <row r="33" spans="1:12">
      <c r="A33" s="43">
        <v>30</v>
      </c>
      <c r="B33" s="43" t="str">
        <f>IF(ISBLANK(Equations!B31),"",Equations!B31)</f>
        <v/>
      </c>
      <c r="C33" s="40"/>
      <c r="E33" s="27"/>
      <c r="F33" s="66"/>
      <c r="G33" s="67"/>
      <c r="H33" s="67"/>
      <c r="I33" s="67"/>
      <c r="J33" s="67"/>
      <c r="K33" s="68"/>
      <c r="L33" s="21"/>
    </row>
    <row r="34" spans="1:12">
      <c r="A34" s="43">
        <v>31</v>
      </c>
      <c r="B34" s="43" t="str">
        <f>IF(ISBLANK(Equations!B32),"",Equations!B32)</f>
        <v/>
      </c>
      <c r="C34" s="40"/>
      <c r="E34" s="27"/>
      <c r="F34" s="66"/>
      <c r="G34" s="67"/>
      <c r="H34" s="67"/>
      <c r="I34" s="67"/>
      <c r="J34" s="67"/>
      <c r="K34" s="68"/>
      <c r="L34" s="21"/>
    </row>
    <row r="35" spans="1:12" ht="17" thickBot="1">
      <c r="A35" s="43">
        <v>32</v>
      </c>
      <c r="B35" s="43" t="str">
        <f>IF(ISBLANK(Equations!B33),"",Equations!B33)</f>
        <v/>
      </c>
      <c r="C35" s="40"/>
      <c r="E35" s="27"/>
      <c r="F35" s="69"/>
      <c r="G35" s="70"/>
      <c r="H35" s="70"/>
      <c r="I35" s="70"/>
      <c r="J35" s="70"/>
      <c r="K35" s="71"/>
      <c r="L35" s="21"/>
    </row>
    <row r="36" spans="1:12">
      <c r="A36" s="43">
        <v>33</v>
      </c>
      <c r="B36" s="43" t="str">
        <f>IF(ISBLANK(Equations!B34),"",Equations!B34)</f>
        <v/>
      </c>
      <c r="C36" s="40"/>
      <c r="E36" s="27"/>
      <c r="F36" s="25" t="s">
        <v>117</v>
      </c>
      <c r="G36" s="23"/>
      <c r="H36" s="23"/>
      <c r="I36" s="23"/>
      <c r="J36" s="23"/>
      <c r="K36" s="23"/>
    </row>
    <row r="37" spans="1:12">
      <c r="A37" s="43">
        <v>34</v>
      </c>
      <c r="B37" s="43" t="str">
        <f>IF(ISBLANK(Equations!B35),"",Equations!B35)</f>
        <v/>
      </c>
      <c r="C37" s="40"/>
      <c r="E37" s="27"/>
      <c r="F37" s="20" t="str">
        <f t="array" aca="1" ref="F37" ca="1">IFERROR(INDEX(Symbols!$M$2:$M$29,SMALL(IF(ISNUMBER(Symbols!E$2:E$29),ROW(Symbols!$M$2:$M$29)-ROW(Symbols!$M$2)+1,""),ROWS(Symbols!$M$2:M29))),"")</f>
        <v/>
      </c>
    </row>
    <row r="38" spans="1:12">
      <c r="A38" s="43">
        <v>35</v>
      </c>
      <c r="B38" s="43" t="str">
        <f>IF(ISBLANK(Equations!B36),"",Equations!B36)</f>
        <v/>
      </c>
      <c r="C38" s="40"/>
      <c r="E38" s="27"/>
      <c r="F38" s="20" t="str">
        <f t="array" aca="1" ref="F38" ca="1">IFERROR(INDEX(Symbols!$M$2:$M$29,SMALL(IF(ISNUMBER(Symbols!E$2:E$29),ROW(Symbols!$M$2:$M$29)-ROW(Symbols!$M$2)+1,""),ROWS(Symbols!$M$2:M30))),"")</f>
        <v/>
      </c>
    </row>
    <row r="39" spans="1:12">
      <c r="A39" s="43">
        <v>36</v>
      </c>
      <c r="B39" s="43" t="str">
        <f>IF(ISBLANK(Equations!B37),"",Equations!B37)</f>
        <v/>
      </c>
      <c r="C39" s="40"/>
      <c r="E39" s="27"/>
      <c r="F39" s="20" t="str">
        <f t="array" aca="1" ref="F39" ca="1">IFERROR(INDEX(Symbols!$M$2:$M$29,SMALL(IF(ISNUMBER(Symbols!E$2:E$29),ROW(Symbols!$M$2:$M$29)-ROW(Symbols!$M$2)+1,""),ROWS(Symbols!$M$2:M31))),"")</f>
        <v/>
      </c>
    </row>
    <row r="40" spans="1:12">
      <c r="A40" s="43">
        <v>37</v>
      </c>
      <c r="B40" s="43" t="str">
        <f>IF(ISBLANK(Equations!B38),"",Equations!B38)</f>
        <v/>
      </c>
      <c r="C40" s="40"/>
      <c r="E40" s="27"/>
      <c r="F40" s="20" t="str">
        <f t="array" aca="1" ref="F40" ca="1">IFERROR(INDEX(Symbols!$M$2:$M$29,SMALL(IF(ISNUMBER(Symbols!E$2:E$29),ROW(Symbols!$M$2:$M$29)-ROW(Symbols!$M$2)+1,""),ROWS(Symbols!$M$2:M32))),"")</f>
        <v/>
      </c>
    </row>
    <row r="41" spans="1:12">
      <c r="A41" s="43">
        <v>38</v>
      </c>
      <c r="B41" s="43" t="str">
        <f>IF(ISBLANK(Equations!B39),"",Equations!B39)</f>
        <v/>
      </c>
      <c r="C41" s="40"/>
      <c r="E41" s="27"/>
      <c r="F41" s="20" t="str">
        <f t="array" aca="1" ref="F41" ca="1">IFERROR(INDEX(Symbols!$M$2:$M$29,SMALL(IF(ISNUMBER(Symbols!E$2:E$29),ROW(Symbols!$M$2:$M$29)-ROW(Symbols!$M$2)+1,""),ROWS(Symbols!$M$2:M33))),"")</f>
        <v/>
      </c>
    </row>
    <row r="42" spans="1:12">
      <c r="A42" s="43">
        <v>39</v>
      </c>
      <c r="B42" s="43" t="str">
        <f>IF(ISBLANK(Equations!B40),"",Equations!B40)</f>
        <v/>
      </c>
      <c r="C42" s="40"/>
      <c r="E42" s="27"/>
      <c r="F42" s="20" t="str">
        <f t="array" aca="1" ref="F42" ca="1">IFERROR(INDEX(Symbols!$M$2:$M$29,SMALL(IF(ISNUMBER(Symbols!E$2:E$29),ROW(Symbols!$M$2:$M$29)-ROW(Symbols!$M$2)+1,""),ROWS(Symbols!$M$2:M34))),"")</f>
        <v/>
      </c>
    </row>
    <row r="43" spans="1:12">
      <c r="A43" s="43">
        <v>40</v>
      </c>
      <c r="B43" s="43" t="str">
        <f>IF(ISBLANK(Equations!B41),"",Equations!B41)</f>
        <v/>
      </c>
      <c r="C43" s="40"/>
      <c r="E43" s="27"/>
      <c r="F43" s="20" t="str">
        <f t="array" aca="1" ref="F43" ca="1">IFERROR(INDEX(Symbols!$M$2:$M$29,SMALL(IF(ISNUMBER(Symbols!E$2:E$29),ROW(Symbols!$M$2:$M$29)-ROW(Symbols!$M$2)+1,""),ROWS(Symbols!$M$2:M35))),"")</f>
        <v/>
      </c>
    </row>
    <row r="44" spans="1:12">
      <c r="A44" s="43">
        <v>41</v>
      </c>
      <c r="B44" s="43" t="str">
        <f>IF(ISBLANK(Equations!B42),"",Equations!B42)</f>
        <v/>
      </c>
      <c r="C44" s="40"/>
      <c r="E44" s="27"/>
      <c r="F44" s="20" t="str">
        <f t="array" aca="1" ref="F44" ca="1">IFERROR(INDEX(Symbols!$M$2:$M$29,SMALL(IF(ISNUMBER(Symbols!E$2:E$29),ROW(Symbols!$M$2:$M$29)-ROW(Symbols!$M$2)+1,""),ROWS(Symbols!$M$2:M36))),"")</f>
        <v/>
      </c>
    </row>
    <row r="45" spans="1:12">
      <c r="A45" s="43">
        <v>42</v>
      </c>
      <c r="B45" s="43" t="str">
        <f>IF(ISBLANK(Equations!B43),"",Equations!B43)</f>
        <v/>
      </c>
      <c r="C45" s="40"/>
      <c r="E45" s="27"/>
      <c r="F45" s="20" t="str">
        <f t="array" aca="1" ref="F45" ca="1">IFERROR(INDEX(Symbols!$M$2:$M$29,SMALL(IF(ISNUMBER(Symbols!E$2:E$29),ROW(Symbols!$M$2:$M$29)-ROW(Symbols!$M$2)+1,""),ROWS(Symbols!$M$2:M37))),"")</f>
        <v/>
      </c>
    </row>
    <row r="46" spans="1:12">
      <c r="A46" s="43">
        <v>43</v>
      </c>
      <c r="B46" s="43" t="str">
        <f>IF(ISBLANK(Equations!B44),"",Equations!B44)</f>
        <v/>
      </c>
      <c r="C46" s="40"/>
      <c r="E46" s="27"/>
    </row>
    <row r="47" spans="1:12">
      <c r="A47" s="43">
        <v>44</v>
      </c>
      <c r="B47" s="43" t="str">
        <f>IF(ISBLANK(Equations!B45),"",Equations!B45)</f>
        <v/>
      </c>
      <c r="C47" s="40"/>
      <c r="E47" s="27"/>
    </row>
    <row r="48" spans="1:12">
      <c r="A48" s="43">
        <v>45</v>
      </c>
      <c r="B48" s="43" t="str">
        <f>IF(ISBLANK(Equations!B46),"",Equations!B46)</f>
        <v/>
      </c>
      <c r="C48" s="40"/>
      <c r="E48" s="27"/>
    </row>
    <row r="49" spans="1:5">
      <c r="A49" s="43">
        <v>46</v>
      </c>
      <c r="B49" s="43" t="str">
        <f>IF(ISBLANK(Equations!B47),"",Equations!B47)</f>
        <v/>
      </c>
      <c r="C49" s="40"/>
      <c r="E49" s="27"/>
    </row>
    <row r="50" spans="1:5">
      <c r="A50" s="43">
        <v>47</v>
      </c>
      <c r="B50" s="43" t="str">
        <f>IF(ISBLANK(Equations!B48),"",Equations!B48)</f>
        <v/>
      </c>
      <c r="C50" s="40"/>
      <c r="E50" s="27"/>
    </row>
    <row r="51" spans="1:5">
      <c r="A51" s="43">
        <v>48</v>
      </c>
      <c r="B51" s="43" t="str">
        <f>IF(ISBLANK(Equations!B49),"",Equations!B49)</f>
        <v/>
      </c>
      <c r="C51" s="40"/>
      <c r="E51" s="27"/>
    </row>
    <row r="52" spans="1:5">
      <c r="A52" s="43">
        <v>49</v>
      </c>
      <c r="B52" s="43" t="str">
        <f>IF(ISBLANK(Equations!B50),"",Equations!B50)</f>
        <v/>
      </c>
      <c r="C52" s="40"/>
      <c r="E52" s="27"/>
    </row>
    <row r="53" spans="1:5">
      <c r="A53" s="43">
        <v>50</v>
      </c>
      <c r="B53" s="43" t="str">
        <f>IF(ISBLANK(Equations!B51),"",Equations!B51)</f>
        <v/>
      </c>
      <c r="C53" s="40"/>
      <c r="E53" s="27"/>
    </row>
    <row r="54" spans="1:5">
      <c r="A54" s="43">
        <v>51</v>
      </c>
      <c r="B54" s="43" t="str">
        <f>IF(ISBLANK(Equations!B52),"",Equations!B52)</f>
        <v/>
      </c>
      <c r="C54" s="40"/>
      <c r="E54" s="27"/>
    </row>
    <row r="55" spans="1:5">
      <c r="A55" s="43">
        <v>52</v>
      </c>
      <c r="B55" s="43" t="str">
        <f>IF(ISBLANK(Equations!B53),"",Equations!B53)</f>
        <v/>
      </c>
      <c r="C55" s="40"/>
      <c r="E55" s="27"/>
    </row>
    <row r="56" spans="1:5">
      <c r="A56" s="43">
        <v>53</v>
      </c>
      <c r="B56" s="43" t="str">
        <f>IF(ISBLANK(Equations!B54),"",Equations!B54)</f>
        <v/>
      </c>
      <c r="C56" s="40"/>
      <c r="E56" s="27"/>
    </row>
    <row r="57" spans="1:5">
      <c r="A57" s="43">
        <v>54</v>
      </c>
      <c r="B57" s="43" t="str">
        <f>IF(ISBLANK(Equations!B55),"",Equations!B55)</f>
        <v/>
      </c>
      <c r="C57" s="40"/>
      <c r="E57" s="27"/>
    </row>
    <row r="58" spans="1:5">
      <c r="A58" s="43">
        <v>55</v>
      </c>
      <c r="B58" s="43" t="str">
        <f>IF(ISBLANK(Equations!B56),"",Equations!B56)</f>
        <v/>
      </c>
      <c r="C58" s="40"/>
      <c r="E58" s="27"/>
    </row>
    <row r="59" spans="1:5">
      <c r="A59" s="43">
        <v>56</v>
      </c>
      <c r="B59" s="43" t="str">
        <f>IF(ISBLANK(Equations!B57),"",Equations!B57)</f>
        <v/>
      </c>
      <c r="C59" s="40"/>
      <c r="E59" s="27"/>
    </row>
    <row r="60" spans="1:5">
      <c r="A60" s="43">
        <v>57</v>
      </c>
      <c r="B60" s="43" t="str">
        <f>IF(ISBLANK(Equations!B58),"",Equations!B58)</f>
        <v/>
      </c>
      <c r="C60" s="40"/>
      <c r="E60" s="27"/>
    </row>
    <row r="61" spans="1:5">
      <c r="A61" s="43">
        <v>58</v>
      </c>
      <c r="B61" s="43" t="str">
        <f>IF(ISBLANK(Equations!B59),"",Equations!B59)</f>
        <v/>
      </c>
      <c r="C61" s="40"/>
      <c r="E61" s="27"/>
    </row>
    <row r="62" spans="1:5">
      <c r="A62" s="43">
        <v>59</v>
      </c>
      <c r="B62" s="43" t="str">
        <f>IF(ISBLANK(Equations!B60),"",Equations!B60)</f>
        <v/>
      </c>
      <c r="C62" s="40"/>
      <c r="E62" s="27"/>
    </row>
    <row r="63" spans="1:5">
      <c r="A63" s="43">
        <v>60</v>
      </c>
      <c r="B63" s="43" t="str">
        <f>IF(ISBLANK(Equations!B61),"",Equations!B61)</f>
        <v/>
      </c>
      <c r="C63" s="40"/>
      <c r="E63" s="27"/>
    </row>
    <row r="64" spans="1:5">
      <c r="A64" s="43">
        <v>61</v>
      </c>
      <c r="B64" s="43" t="str">
        <f>IF(ISBLANK(Equations!B62),"",Equations!B62)</f>
        <v/>
      </c>
      <c r="C64" s="40"/>
      <c r="E64" s="27"/>
    </row>
    <row r="65" spans="1:5">
      <c r="A65" s="43">
        <v>62</v>
      </c>
      <c r="B65" s="43" t="str">
        <f>IF(ISBLANK(Equations!B63),"",Equations!B63)</f>
        <v/>
      </c>
      <c r="C65" s="40"/>
      <c r="E65" s="27"/>
    </row>
    <row r="66" spans="1:5">
      <c r="A66" s="43">
        <v>63</v>
      </c>
      <c r="B66" s="43" t="str">
        <f>IF(ISBLANK(Equations!B64),"",Equations!B64)</f>
        <v/>
      </c>
      <c r="C66" s="40"/>
      <c r="E66" s="27"/>
    </row>
    <row r="67" spans="1:5">
      <c r="A67" s="43">
        <v>64</v>
      </c>
      <c r="B67" s="43" t="str">
        <f>IF(ISBLANK(Equations!B65),"",Equations!B65)</f>
        <v/>
      </c>
      <c r="C67" s="40"/>
      <c r="E67" s="27"/>
    </row>
    <row r="68" spans="1:5">
      <c r="A68" s="43">
        <v>65</v>
      </c>
      <c r="B68" s="43" t="str">
        <f>IF(ISBLANK(Equations!B66),"",Equations!B66)</f>
        <v/>
      </c>
      <c r="C68" s="40"/>
      <c r="E68" s="27"/>
    </row>
    <row r="69" spans="1:5">
      <c r="A69" s="43">
        <v>66</v>
      </c>
      <c r="B69" s="43" t="str">
        <f>IF(ISBLANK(Equations!B67),"",Equations!B67)</f>
        <v/>
      </c>
      <c r="C69" s="40"/>
      <c r="E69" s="27"/>
    </row>
    <row r="70" spans="1:5">
      <c r="A70" s="43">
        <v>67</v>
      </c>
      <c r="B70" s="43" t="str">
        <f>IF(ISBLANK(Equations!B68),"",Equations!B68)</f>
        <v/>
      </c>
      <c r="C70" s="40"/>
      <c r="E70" s="27"/>
    </row>
    <row r="71" spans="1:5">
      <c r="A71" s="43">
        <v>68</v>
      </c>
      <c r="B71" s="43" t="str">
        <f>IF(ISBLANK(Equations!B69),"",Equations!B69)</f>
        <v/>
      </c>
      <c r="C71" s="40"/>
      <c r="E71" s="27"/>
    </row>
    <row r="72" spans="1:5">
      <c r="A72" s="43">
        <v>69</v>
      </c>
      <c r="B72" s="43" t="str">
        <f>IF(ISBLANK(Equations!B70),"",Equations!B70)</f>
        <v/>
      </c>
      <c r="C72" s="40"/>
      <c r="E72" s="27"/>
    </row>
    <row r="73" spans="1:5">
      <c r="A73" s="43">
        <v>70</v>
      </c>
      <c r="B73" s="43" t="str">
        <f>IF(ISBLANK(Equations!B71),"",Equations!B71)</f>
        <v/>
      </c>
      <c r="C73" s="40"/>
      <c r="E73" s="27"/>
    </row>
    <row r="74" spans="1:5">
      <c r="A74" s="43">
        <v>71</v>
      </c>
      <c r="B74" s="43" t="str">
        <f>IF(ISBLANK(Equations!B72),"",Equations!B72)</f>
        <v/>
      </c>
      <c r="C74" s="40"/>
      <c r="E74" s="27"/>
    </row>
    <row r="75" spans="1:5">
      <c r="A75" s="43">
        <v>72</v>
      </c>
      <c r="B75" s="43" t="str">
        <f>IF(ISBLANK(Equations!B73),"",Equations!B73)</f>
        <v/>
      </c>
      <c r="C75" s="40"/>
      <c r="E75" s="27"/>
    </row>
    <row r="76" spans="1:5">
      <c r="A76" s="43">
        <v>73</v>
      </c>
      <c r="B76" s="43" t="str">
        <f>IF(ISBLANK(Equations!B74),"",Equations!B74)</f>
        <v/>
      </c>
      <c r="C76" s="40"/>
      <c r="E76" s="27"/>
    </row>
    <row r="77" spans="1:5">
      <c r="A77" s="43">
        <v>74</v>
      </c>
      <c r="B77" s="43" t="str">
        <f>IF(ISBLANK(Equations!B75),"",Equations!B75)</f>
        <v/>
      </c>
      <c r="C77" s="40"/>
      <c r="E77" s="27"/>
    </row>
    <row r="78" spans="1:5">
      <c r="A78" s="43">
        <v>75</v>
      </c>
      <c r="B78" s="43" t="str">
        <f>IF(ISBLANK(Equations!B76),"",Equations!B76)</f>
        <v/>
      </c>
      <c r="C78" s="40"/>
      <c r="E78" s="27"/>
    </row>
    <row r="79" spans="1:5">
      <c r="A79" s="43">
        <v>76</v>
      </c>
      <c r="B79" s="43" t="str">
        <f>IF(ISBLANK(Equations!B77),"",Equations!B77)</f>
        <v/>
      </c>
      <c r="C79" s="40"/>
      <c r="E79" s="27"/>
    </row>
    <row r="80" spans="1:5">
      <c r="A80" s="43">
        <v>77</v>
      </c>
      <c r="B80" s="43" t="str">
        <f>IF(ISBLANK(Equations!B78),"",Equations!B78)</f>
        <v/>
      </c>
      <c r="C80" s="40"/>
      <c r="E80" s="27"/>
    </row>
    <row r="81" spans="1:5">
      <c r="A81" s="43">
        <v>78</v>
      </c>
      <c r="B81" s="43" t="str">
        <f>IF(ISBLANK(Equations!B79),"",Equations!B79)</f>
        <v/>
      </c>
      <c r="C81" s="40"/>
      <c r="E81" s="27"/>
    </row>
    <row r="82" spans="1:5">
      <c r="A82" s="43">
        <v>79</v>
      </c>
      <c r="B82" s="43" t="str">
        <f>IF(ISBLANK(Equations!B80),"",Equations!B80)</f>
        <v/>
      </c>
      <c r="C82" s="40"/>
      <c r="E82" s="27"/>
    </row>
    <row r="83" spans="1:5">
      <c r="A83" s="43">
        <v>80</v>
      </c>
      <c r="B83" s="43" t="str">
        <f>IF(ISBLANK(Equations!B81),"",Equations!B81)</f>
        <v/>
      </c>
      <c r="C83" s="40"/>
      <c r="E83" s="27"/>
    </row>
    <row r="84" spans="1:5">
      <c r="A84" s="43">
        <v>81</v>
      </c>
      <c r="B84" s="43" t="str">
        <f>IF(ISBLANK(Equations!B82),"",Equations!B82)</f>
        <v/>
      </c>
      <c r="C84" s="40"/>
      <c r="E84" s="27"/>
    </row>
    <row r="85" spans="1:5">
      <c r="A85" s="43">
        <v>82</v>
      </c>
      <c r="B85" s="43" t="str">
        <f>IF(ISBLANK(Equations!B83),"",Equations!B83)</f>
        <v/>
      </c>
      <c r="C85" s="40"/>
      <c r="E85" s="27"/>
    </row>
    <row r="86" spans="1:5">
      <c r="A86" s="43">
        <v>83</v>
      </c>
      <c r="B86" s="43" t="str">
        <f>IF(ISBLANK(Equations!B84),"",Equations!B84)</f>
        <v/>
      </c>
      <c r="C86" s="40"/>
      <c r="E86" s="27"/>
    </row>
    <row r="87" spans="1:5">
      <c r="A87" s="43">
        <v>84</v>
      </c>
      <c r="B87" s="43" t="str">
        <f>IF(ISBLANK(Equations!B85),"",Equations!B85)</f>
        <v/>
      </c>
      <c r="C87" s="40"/>
      <c r="E87" s="27"/>
    </row>
    <row r="88" spans="1:5">
      <c r="A88" s="43">
        <v>85</v>
      </c>
      <c r="B88" s="43" t="str">
        <f>IF(ISBLANK(Equations!B86),"",Equations!B86)</f>
        <v/>
      </c>
      <c r="C88" s="40"/>
      <c r="E88" s="27"/>
    </row>
    <row r="89" spans="1:5">
      <c r="A89" s="43">
        <v>86</v>
      </c>
      <c r="B89" s="43" t="str">
        <f>IF(ISBLANK(Equations!B87),"",Equations!B87)</f>
        <v/>
      </c>
      <c r="C89" s="40"/>
      <c r="E89" s="27"/>
    </row>
    <row r="90" spans="1:5">
      <c r="A90" s="43">
        <v>87</v>
      </c>
      <c r="B90" s="43" t="str">
        <f>IF(ISBLANK(Equations!B88),"",Equations!B88)</f>
        <v/>
      </c>
      <c r="C90" s="40"/>
      <c r="E90" s="27"/>
    </row>
    <row r="91" spans="1:5">
      <c r="A91" s="43">
        <v>88</v>
      </c>
      <c r="B91" s="43" t="str">
        <f>IF(ISBLANK(Equations!B89),"",Equations!B89)</f>
        <v/>
      </c>
      <c r="C91" s="40"/>
      <c r="E91" s="27"/>
    </row>
    <row r="92" spans="1:5">
      <c r="A92" s="43">
        <v>89</v>
      </c>
      <c r="B92" s="43" t="str">
        <f>IF(ISBLANK(Equations!B90),"",Equations!B90)</f>
        <v/>
      </c>
      <c r="C92" s="40"/>
      <c r="E92" s="27"/>
    </row>
    <row r="93" spans="1:5">
      <c r="A93" s="43">
        <v>90</v>
      </c>
      <c r="B93" s="43" t="str">
        <f>IF(ISBLANK(Equations!B91),"",Equations!B91)</f>
        <v/>
      </c>
      <c r="C93" s="40"/>
      <c r="E93" s="27"/>
    </row>
    <row r="94" spans="1:5">
      <c r="A94" s="43">
        <v>91</v>
      </c>
      <c r="B94" s="43" t="str">
        <f>IF(ISBLANK(Equations!B92),"",Equations!B92)</f>
        <v/>
      </c>
      <c r="C94" s="40"/>
      <c r="E94" s="27"/>
    </row>
    <row r="95" spans="1:5">
      <c r="A95" s="43">
        <v>92</v>
      </c>
      <c r="B95" s="43" t="str">
        <f>IF(ISBLANK(Equations!B93),"",Equations!B93)</f>
        <v/>
      </c>
      <c r="C95" s="40"/>
      <c r="E95" s="27"/>
    </row>
    <row r="96" spans="1:5">
      <c r="A96" s="43">
        <v>93</v>
      </c>
      <c r="B96" s="43" t="str">
        <f>IF(ISBLANK(Equations!B94),"",Equations!B94)</f>
        <v/>
      </c>
      <c r="C96" s="40"/>
      <c r="E96" s="27"/>
    </row>
    <row r="97" spans="1:5">
      <c r="A97" s="43">
        <v>94</v>
      </c>
      <c r="B97" s="43" t="str">
        <f>IF(ISBLANK(Equations!B95),"",Equations!B95)</f>
        <v/>
      </c>
      <c r="C97" s="40"/>
      <c r="E97" s="27"/>
    </row>
    <row r="98" spans="1:5">
      <c r="A98" s="43">
        <v>95</v>
      </c>
      <c r="B98" s="43" t="str">
        <f>IF(ISBLANK(Equations!B96),"",Equations!B96)</f>
        <v/>
      </c>
      <c r="C98" s="40"/>
      <c r="E98" s="27"/>
    </row>
    <row r="99" spans="1:5">
      <c r="A99" s="43">
        <v>96</v>
      </c>
      <c r="B99" s="43" t="str">
        <f>IF(ISBLANK(Equations!B97),"",Equations!B97)</f>
        <v/>
      </c>
      <c r="C99" s="40"/>
      <c r="E99" s="27"/>
    </row>
    <row r="100" spans="1:5">
      <c r="A100" s="43">
        <v>97</v>
      </c>
      <c r="B100" s="43" t="str">
        <f>IF(ISBLANK(Equations!B98),"",Equations!B98)</f>
        <v/>
      </c>
      <c r="C100" s="40"/>
      <c r="E100" s="27"/>
    </row>
    <row r="101" spans="1:5">
      <c r="A101" s="43">
        <v>98</v>
      </c>
      <c r="B101" s="43" t="str">
        <f>IF(ISBLANK(Equations!B99),"",Equations!B99)</f>
        <v/>
      </c>
      <c r="C101" s="40"/>
      <c r="E101" s="27"/>
    </row>
    <row r="102" spans="1:5">
      <c r="A102" s="43">
        <v>99</v>
      </c>
      <c r="B102" s="43" t="str">
        <f>IF(ISBLANK(Equations!B100),"",Equations!B100)</f>
        <v/>
      </c>
      <c r="C102" s="40"/>
      <c r="E102" s="27"/>
    </row>
    <row r="103" spans="1:5">
      <c r="A103" s="43">
        <v>100</v>
      </c>
      <c r="B103" s="43" t="str">
        <f>IF(ISBLANK(Equations!B101),"",Equations!B101)</f>
        <v/>
      </c>
      <c r="C103" s="40"/>
      <c r="E103" s="27"/>
    </row>
    <row r="104" spans="1:5">
      <c r="A104" s="43">
        <v>101</v>
      </c>
      <c r="B104" s="43" t="str">
        <f>IF(ISBLANK(Equations!B102),"",Equations!B102)</f>
        <v/>
      </c>
      <c r="C104" s="40"/>
      <c r="E104" s="27"/>
    </row>
    <row r="105" spans="1:5">
      <c r="A105" s="43">
        <v>102</v>
      </c>
      <c r="B105" s="43" t="str">
        <f>IF(ISBLANK(Equations!B103),"",Equations!B103)</f>
        <v/>
      </c>
      <c r="C105" s="40"/>
      <c r="E105" s="27"/>
    </row>
    <row r="106" spans="1:5">
      <c r="A106" s="43">
        <v>103</v>
      </c>
      <c r="B106" s="43" t="str">
        <f>IF(ISBLANK(Equations!B104),"",Equations!B104)</f>
        <v/>
      </c>
    </row>
    <row r="107" spans="1:5">
      <c r="A107" s="43">
        <v>104</v>
      </c>
      <c r="B107" s="43" t="str">
        <f>IF(ISBLANK(Equations!B105),"",Equations!B105)</f>
        <v/>
      </c>
    </row>
    <row r="108" spans="1:5">
      <c r="A108" s="43">
        <v>105</v>
      </c>
      <c r="B108" s="43" t="str">
        <f>IF(ISBLANK(Equations!B106),"",Equations!B106)</f>
        <v/>
      </c>
    </row>
    <row r="109" spans="1:5">
      <c r="A109" s="43">
        <v>106</v>
      </c>
      <c r="B109" s="43" t="str">
        <f>IF(ISBLANK(Equations!B107),"",Equations!B107)</f>
        <v/>
      </c>
    </row>
    <row r="110" spans="1:5">
      <c r="A110" s="43">
        <v>107</v>
      </c>
      <c r="B110" s="43" t="str">
        <f>IF(ISBLANK(Equations!B108),"",Equations!B108)</f>
        <v/>
      </c>
    </row>
    <row r="111" spans="1:5">
      <c r="A111" s="43">
        <v>108</v>
      </c>
      <c r="B111" s="43" t="str">
        <f>IF(ISBLANK(Equations!B109),"",Equations!B109)</f>
        <v/>
      </c>
    </row>
    <row r="112" spans="1:5">
      <c r="A112" s="43">
        <v>109</v>
      </c>
      <c r="B112" s="43" t="str">
        <f>IF(ISBLANK(Equations!B110),"",Equations!B110)</f>
        <v/>
      </c>
    </row>
    <row r="113" spans="1:2">
      <c r="A113" s="43">
        <v>110</v>
      </c>
      <c r="B113" s="43" t="str">
        <f>IF(ISBLANK(Equations!B111),"",Equations!B111)</f>
        <v/>
      </c>
    </row>
    <row r="114" spans="1:2">
      <c r="A114" s="43">
        <v>111</v>
      </c>
      <c r="B114" s="43" t="str">
        <f>IF(ISBLANK(Equations!B112),"",Equations!B112)</f>
        <v/>
      </c>
    </row>
    <row r="115" spans="1:2">
      <c r="A115" s="43">
        <v>112</v>
      </c>
      <c r="B115" s="43" t="str">
        <f>IF(ISBLANK(Equations!B113),"",Equations!B113)</f>
        <v/>
      </c>
    </row>
    <row r="116" spans="1:2">
      <c r="A116" s="43">
        <v>113</v>
      </c>
      <c r="B116" s="43" t="str">
        <f>IF(ISBLANK(Equations!B114),"",Equations!B114)</f>
        <v/>
      </c>
    </row>
    <row r="117" spans="1:2">
      <c r="A117" s="43">
        <v>114</v>
      </c>
      <c r="B117" s="43" t="str">
        <f>IF(ISBLANK(Equations!B115),"",Equations!B115)</f>
        <v/>
      </c>
    </row>
    <row r="118" spans="1:2">
      <c r="A118" s="43">
        <v>115</v>
      </c>
      <c r="B118" s="43" t="str">
        <f>IF(ISBLANK(Equations!B116),"",Equations!B116)</f>
        <v/>
      </c>
    </row>
    <row r="119" spans="1:2">
      <c r="A119" s="43">
        <v>116</v>
      </c>
      <c r="B119" s="43" t="str">
        <f>IF(ISBLANK(Equations!B117),"",Equations!B117)</f>
        <v/>
      </c>
    </row>
    <row r="120" spans="1:2">
      <c r="A120" s="43">
        <v>117</v>
      </c>
      <c r="B120" s="43" t="str">
        <f>IF(ISBLANK(Equations!B118),"",Equations!B118)</f>
        <v/>
      </c>
    </row>
    <row r="121" spans="1:2">
      <c r="A121" s="43">
        <v>118</v>
      </c>
      <c r="B121" s="43" t="str">
        <f>IF(ISBLANK(Equations!B119),"",Equations!B119)</f>
        <v/>
      </c>
    </row>
    <row r="122" spans="1:2">
      <c r="A122" s="43">
        <v>119</v>
      </c>
      <c r="B122" s="43" t="str">
        <f>IF(ISBLANK(Equations!B120),"",Equations!B120)</f>
        <v/>
      </c>
    </row>
    <row r="123" spans="1:2">
      <c r="A123" s="43">
        <v>120</v>
      </c>
      <c r="B123" s="43" t="str">
        <f>IF(ISBLANK(Equations!B121),"",Equations!B121)</f>
        <v/>
      </c>
    </row>
    <row r="124" spans="1:2">
      <c r="A124" s="43">
        <v>121</v>
      </c>
      <c r="B124" s="43" t="str">
        <f>IF(ISBLANK(Equations!B122),"",Equations!B122)</f>
        <v/>
      </c>
    </row>
    <row r="125" spans="1:2">
      <c r="A125" s="43">
        <v>122</v>
      </c>
      <c r="B125" s="43" t="str">
        <f>IF(ISBLANK(Equations!B123),"",Equations!B123)</f>
        <v/>
      </c>
    </row>
    <row r="126" spans="1:2">
      <c r="A126" s="43">
        <v>123</v>
      </c>
      <c r="B126" s="43" t="str">
        <f>IF(ISBLANK(Equations!B124),"",Equations!B124)</f>
        <v/>
      </c>
    </row>
    <row r="127" spans="1:2">
      <c r="A127" s="43">
        <v>124</v>
      </c>
      <c r="B127" s="43" t="str">
        <f>IF(ISBLANK(Equations!B125),"",Equations!B125)</f>
        <v/>
      </c>
    </row>
    <row r="128" spans="1:2">
      <c r="A128" s="43">
        <v>125</v>
      </c>
      <c r="B128" s="43" t="str">
        <f>IF(ISBLANK(Equations!B126),"",Equations!B126)</f>
        <v/>
      </c>
    </row>
    <row r="129" spans="1:2">
      <c r="A129" s="43">
        <v>126</v>
      </c>
      <c r="B129" s="43" t="str">
        <f>IF(ISBLANK(Equations!B127),"",Equations!B127)</f>
        <v/>
      </c>
    </row>
    <row r="130" spans="1:2">
      <c r="A130" s="43">
        <v>127</v>
      </c>
      <c r="B130" s="43" t="str">
        <f>IF(ISBLANK(Equations!B128),"",Equations!B128)</f>
        <v/>
      </c>
    </row>
    <row r="131" spans="1:2">
      <c r="A131" s="43">
        <v>128</v>
      </c>
      <c r="B131" s="43" t="str">
        <f>IF(ISBLANK(Equations!B129),"",Equations!B129)</f>
        <v/>
      </c>
    </row>
    <row r="132" spans="1:2">
      <c r="A132" s="43">
        <v>129</v>
      </c>
      <c r="B132" s="43" t="str">
        <f>IF(ISBLANK(Equations!B130),"",Equations!B130)</f>
        <v/>
      </c>
    </row>
    <row r="133" spans="1:2">
      <c r="A133" s="43">
        <v>130</v>
      </c>
      <c r="B133" s="43" t="str">
        <f>IF(ISBLANK(Equations!B131),"",Equations!B131)</f>
        <v/>
      </c>
    </row>
    <row r="134" spans="1:2">
      <c r="A134" s="43">
        <v>131</v>
      </c>
      <c r="B134" s="43" t="str">
        <f>IF(ISBLANK(Equations!B132),"",Equations!B132)</f>
        <v/>
      </c>
    </row>
    <row r="135" spans="1:2">
      <c r="A135" s="43">
        <v>132</v>
      </c>
      <c r="B135" s="43" t="str">
        <f>IF(ISBLANK(Equations!B133),"",Equations!B133)</f>
        <v/>
      </c>
    </row>
    <row r="136" spans="1:2">
      <c r="A136" s="43">
        <v>133</v>
      </c>
      <c r="B136" s="43" t="str">
        <f>IF(ISBLANK(Equations!B134),"",Equations!B134)</f>
        <v/>
      </c>
    </row>
    <row r="137" spans="1:2">
      <c r="A137" s="43">
        <v>134</v>
      </c>
      <c r="B137" s="43" t="str">
        <f>IF(ISBLANK(Equations!B135),"",Equations!B135)</f>
        <v/>
      </c>
    </row>
    <row r="138" spans="1:2">
      <c r="A138" s="43">
        <v>135</v>
      </c>
      <c r="B138" s="43" t="str">
        <f>IF(ISBLANK(Equations!B136),"",Equations!B136)</f>
        <v/>
      </c>
    </row>
    <row r="139" spans="1:2">
      <c r="A139" s="43">
        <v>136</v>
      </c>
      <c r="B139" s="43" t="str">
        <f>IF(ISBLANK(Equations!B137),"",Equations!B137)</f>
        <v/>
      </c>
    </row>
    <row r="140" spans="1:2">
      <c r="A140" s="43">
        <v>137</v>
      </c>
      <c r="B140" s="43" t="str">
        <f>IF(ISBLANK(Equations!B138),"",Equations!B138)</f>
        <v/>
      </c>
    </row>
    <row r="141" spans="1:2">
      <c r="A141" s="43">
        <v>138</v>
      </c>
      <c r="B141" s="43" t="str">
        <f>IF(ISBLANK(Equations!B139),"",Equations!B139)</f>
        <v/>
      </c>
    </row>
    <row r="142" spans="1:2">
      <c r="A142" s="43">
        <v>139</v>
      </c>
      <c r="B142" s="43" t="str">
        <f>IF(ISBLANK(Equations!B140),"",Equations!B140)</f>
        <v/>
      </c>
    </row>
    <row r="143" spans="1:2">
      <c r="A143" s="43">
        <v>140</v>
      </c>
      <c r="B143" s="43" t="str">
        <f>IF(ISBLANK(Equations!B141),"",Equations!B141)</f>
        <v/>
      </c>
    </row>
    <row r="144" spans="1:2">
      <c r="A144" s="43">
        <v>141</v>
      </c>
      <c r="B144" s="43" t="str">
        <f>IF(ISBLANK(Equations!B142),"",Equations!B142)</f>
        <v/>
      </c>
    </row>
    <row r="145" spans="1:2">
      <c r="A145" s="43">
        <v>142</v>
      </c>
      <c r="B145" s="43" t="str">
        <f>IF(ISBLANK(Equations!B143),"",Equations!B143)</f>
        <v/>
      </c>
    </row>
    <row r="146" spans="1:2">
      <c r="A146" s="43">
        <v>143</v>
      </c>
      <c r="B146" s="43" t="str">
        <f>IF(ISBLANK(Equations!B144),"",Equations!B144)</f>
        <v/>
      </c>
    </row>
    <row r="147" spans="1:2">
      <c r="A147" s="43">
        <v>144</v>
      </c>
      <c r="B147" s="43" t="str">
        <f>IF(ISBLANK(Equations!B145),"",Equations!B145)</f>
        <v/>
      </c>
    </row>
    <row r="148" spans="1:2">
      <c r="A148" s="43">
        <v>145</v>
      </c>
      <c r="B148" s="43" t="str">
        <f>IF(ISBLANK(Equations!B146),"",Equations!B146)</f>
        <v/>
      </c>
    </row>
    <row r="149" spans="1:2">
      <c r="A149" s="43">
        <v>146</v>
      </c>
      <c r="B149" s="43" t="str">
        <f>IF(ISBLANK(Equations!B147),"",Equations!B147)</f>
        <v/>
      </c>
    </row>
    <row r="150" spans="1:2">
      <c r="A150" s="43">
        <v>147</v>
      </c>
      <c r="B150" s="43" t="str">
        <f>IF(ISBLANK(Equations!B148),"",Equations!B148)</f>
        <v/>
      </c>
    </row>
    <row r="151" spans="1:2">
      <c r="A151" s="43">
        <v>148</v>
      </c>
      <c r="B151" s="43" t="str">
        <f>IF(ISBLANK(Equations!B149),"",Equations!B149)</f>
        <v/>
      </c>
    </row>
    <row r="152" spans="1:2">
      <c r="A152" s="43">
        <v>149</v>
      </c>
      <c r="B152" s="43" t="str">
        <f>IF(ISBLANK(Equations!B150),"",Equations!B150)</f>
        <v/>
      </c>
    </row>
    <row r="153" spans="1:2">
      <c r="A153" s="43">
        <v>150</v>
      </c>
      <c r="B153" s="43" t="str">
        <f>IF(ISBLANK(Equations!B151),"",Equations!B151)</f>
        <v/>
      </c>
    </row>
    <row r="154" spans="1:2">
      <c r="A154" s="43">
        <v>151</v>
      </c>
      <c r="B154" s="43" t="str">
        <f>IF(ISBLANK(Equations!B152),"",Equations!B152)</f>
        <v/>
      </c>
    </row>
    <row r="155" spans="1:2">
      <c r="A155" s="43">
        <v>152</v>
      </c>
      <c r="B155" s="43" t="str">
        <f>IF(ISBLANK(Equations!B153),"",Equations!B153)</f>
        <v/>
      </c>
    </row>
    <row r="156" spans="1:2">
      <c r="A156" s="43">
        <v>153</v>
      </c>
      <c r="B156" s="43" t="str">
        <f>IF(ISBLANK(Equations!B154),"",Equations!B154)</f>
        <v/>
      </c>
    </row>
    <row r="157" spans="1:2">
      <c r="A157" s="43">
        <v>154</v>
      </c>
      <c r="B157" s="43" t="str">
        <f>IF(ISBLANK(Equations!B155),"",Equations!B155)</f>
        <v/>
      </c>
    </row>
    <row r="158" spans="1:2">
      <c r="A158" s="43">
        <v>155</v>
      </c>
      <c r="B158" s="43" t="str">
        <f>IF(ISBLANK(Equations!B156),"",Equations!B156)</f>
        <v/>
      </c>
    </row>
    <row r="159" spans="1:2">
      <c r="A159" s="43">
        <v>156</v>
      </c>
      <c r="B159" s="43" t="str">
        <f>IF(ISBLANK(Equations!B157),"",Equations!B157)</f>
        <v/>
      </c>
    </row>
    <row r="160" spans="1:2">
      <c r="A160" s="43">
        <v>157</v>
      </c>
      <c r="B160" s="43" t="str">
        <f>IF(ISBLANK(Equations!B158),"",Equations!B158)</f>
        <v/>
      </c>
    </row>
    <row r="161" spans="1:2">
      <c r="A161" s="43">
        <v>158</v>
      </c>
      <c r="B161" s="43" t="str">
        <f>IF(ISBLANK(Equations!B159),"",Equations!B159)</f>
        <v/>
      </c>
    </row>
    <row r="162" spans="1:2">
      <c r="A162" s="43">
        <v>159</v>
      </c>
      <c r="B162" s="43" t="str">
        <f>IF(ISBLANK(Equations!B160),"",Equations!B160)</f>
        <v/>
      </c>
    </row>
    <row r="163" spans="1:2">
      <c r="A163" s="43">
        <v>160</v>
      </c>
      <c r="B163" s="43" t="str">
        <f>IF(ISBLANK(Equations!B161),"",Equations!B161)</f>
        <v/>
      </c>
    </row>
    <row r="164" spans="1:2">
      <c r="A164" s="43">
        <v>161</v>
      </c>
      <c r="B164" s="43" t="str">
        <f>IF(ISBLANK(Equations!B162),"",Equations!B162)</f>
        <v/>
      </c>
    </row>
    <row r="165" spans="1:2">
      <c r="A165" s="43">
        <v>162</v>
      </c>
      <c r="B165" s="43" t="str">
        <f>IF(ISBLANK(Equations!B163),"",Equations!B163)</f>
        <v/>
      </c>
    </row>
    <row r="166" spans="1:2">
      <c r="A166" s="43">
        <v>163</v>
      </c>
      <c r="B166" s="43" t="str">
        <f>IF(ISBLANK(Equations!B164),"",Equations!B164)</f>
        <v/>
      </c>
    </row>
    <row r="167" spans="1:2">
      <c r="A167" s="43">
        <v>164</v>
      </c>
      <c r="B167" s="43" t="str">
        <f>IF(ISBLANK(Equations!B165),"",Equations!B165)</f>
        <v/>
      </c>
    </row>
    <row r="168" spans="1:2">
      <c r="A168" s="43">
        <v>165</v>
      </c>
      <c r="B168" s="43" t="str">
        <f>IF(ISBLANK(Equations!B166),"",Equations!B166)</f>
        <v/>
      </c>
    </row>
    <row r="169" spans="1:2">
      <c r="A169" s="43">
        <v>166</v>
      </c>
      <c r="B169" s="43" t="str">
        <f>IF(ISBLANK(Equations!B167),"",Equations!B167)</f>
        <v/>
      </c>
    </row>
    <row r="170" spans="1:2">
      <c r="A170" s="43">
        <v>167</v>
      </c>
      <c r="B170" s="43" t="str">
        <f>IF(ISBLANK(Equations!B168),"",Equations!B168)</f>
        <v/>
      </c>
    </row>
    <row r="171" spans="1:2">
      <c r="A171" s="43">
        <v>168</v>
      </c>
      <c r="B171" s="43" t="str">
        <f>IF(ISBLANK(Equations!B169),"",Equations!B169)</f>
        <v/>
      </c>
    </row>
    <row r="172" spans="1:2">
      <c r="A172" s="43">
        <v>169</v>
      </c>
      <c r="B172" s="43" t="str">
        <f>IF(ISBLANK(Equations!B170),"",Equations!B170)</f>
        <v/>
      </c>
    </row>
    <row r="173" spans="1:2">
      <c r="A173" s="43">
        <v>170</v>
      </c>
      <c r="B173" s="43" t="str">
        <f>IF(ISBLANK(Equations!B171),"",Equations!B171)</f>
        <v/>
      </c>
    </row>
    <row r="174" spans="1:2">
      <c r="A174" s="43">
        <v>171</v>
      </c>
      <c r="B174" s="43" t="str">
        <f>IF(ISBLANK(Equations!B172),"",Equations!B172)</f>
        <v/>
      </c>
    </row>
    <row r="175" spans="1:2">
      <c r="A175" s="43">
        <v>172</v>
      </c>
      <c r="B175" s="43" t="str">
        <f>IF(ISBLANK(Equations!B173),"",Equations!B173)</f>
        <v/>
      </c>
    </row>
    <row r="176" spans="1:2">
      <c r="A176" s="43">
        <v>173</v>
      </c>
      <c r="B176" s="43" t="str">
        <f>IF(ISBLANK(Equations!B174),"",Equations!B174)</f>
        <v/>
      </c>
    </row>
    <row r="177" spans="1:2">
      <c r="A177" s="43">
        <v>174</v>
      </c>
      <c r="B177" s="43" t="str">
        <f>IF(ISBLANK(Equations!B175),"",Equations!B175)</f>
        <v/>
      </c>
    </row>
    <row r="178" spans="1:2">
      <c r="A178" s="43">
        <v>175</v>
      </c>
      <c r="B178" s="43" t="str">
        <f>IF(ISBLANK(Equations!B176),"",Equations!B176)</f>
        <v/>
      </c>
    </row>
    <row r="179" spans="1:2">
      <c r="A179" s="43">
        <v>176</v>
      </c>
      <c r="B179" s="43" t="str">
        <f>IF(ISBLANK(Equations!B177),"",Equations!B177)</f>
        <v/>
      </c>
    </row>
    <row r="180" spans="1:2">
      <c r="A180" s="43">
        <v>177</v>
      </c>
      <c r="B180" s="43" t="str">
        <f>IF(ISBLANK(Equations!B178),"",Equations!B178)</f>
        <v/>
      </c>
    </row>
    <row r="181" spans="1:2">
      <c r="A181" s="43">
        <v>178</v>
      </c>
      <c r="B181" s="43" t="str">
        <f>IF(ISBLANK(Equations!B179),"",Equations!B179)</f>
        <v/>
      </c>
    </row>
    <row r="182" spans="1:2">
      <c r="A182" s="43">
        <v>179</v>
      </c>
      <c r="B182" s="43" t="str">
        <f>IF(ISBLANK(Equations!B180),"",Equations!B180)</f>
        <v/>
      </c>
    </row>
    <row r="183" spans="1:2">
      <c r="A183" s="43">
        <v>180</v>
      </c>
      <c r="B183" s="43" t="str">
        <f>IF(ISBLANK(Equations!B181),"",Equations!B181)</f>
        <v/>
      </c>
    </row>
    <row r="184" spans="1:2">
      <c r="A184" s="43">
        <v>181</v>
      </c>
      <c r="B184" s="43" t="str">
        <f>IF(ISBLANK(Equations!B182),"",Equations!B182)</f>
        <v/>
      </c>
    </row>
    <row r="185" spans="1:2">
      <c r="A185" s="43">
        <v>182</v>
      </c>
      <c r="B185" s="43" t="str">
        <f>IF(ISBLANK(Equations!B183),"",Equations!B183)</f>
        <v/>
      </c>
    </row>
    <row r="186" spans="1:2">
      <c r="A186" s="43">
        <v>183</v>
      </c>
      <c r="B186" s="43" t="str">
        <f>IF(ISBLANK(Equations!B184),"",Equations!B184)</f>
        <v/>
      </c>
    </row>
    <row r="187" spans="1:2">
      <c r="A187" s="43">
        <v>184</v>
      </c>
      <c r="B187" s="43" t="str">
        <f>IF(ISBLANK(Equations!B185),"",Equations!B185)</f>
        <v/>
      </c>
    </row>
    <row r="188" spans="1:2">
      <c r="A188" s="43">
        <v>185</v>
      </c>
      <c r="B188" s="43" t="str">
        <f>IF(ISBLANK(Equations!B186),"",Equations!B186)</f>
        <v/>
      </c>
    </row>
    <row r="189" spans="1:2">
      <c r="A189" s="43">
        <v>186</v>
      </c>
      <c r="B189" s="43" t="str">
        <f>IF(ISBLANK(Equations!B187),"",Equations!B187)</f>
        <v/>
      </c>
    </row>
    <row r="190" spans="1:2">
      <c r="A190" s="43">
        <v>187</v>
      </c>
      <c r="B190" s="43" t="str">
        <f>IF(ISBLANK(Equations!B188),"",Equations!B188)</f>
        <v/>
      </c>
    </row>
    <row r="191" spans="1:2">
      <c r="A191" s="43">
        <v>188</v>
      </c>
      <c r="B191" s="43" t="str">
        <f>IF(ISBLANK(Equations!B189),"",Equations!B189)</f>
        <v/>
      </c>
    </row>
    <row r="192" spans="1:2">
      <c r="A192" s="43">
        <v>189</v>
      </c>
      <c r="B192" s="43" t="str">
        <f>IF(ISBLANK(Equations!B190),"",Equations!B190)</f>
        <v/>
      </c>
    </row>
    <row r="193" spans="1:2">
      <c r="A193" s="43">
        <v>190</v>
      </c>
      <c r="B193" s="43" t="str">
        <f>IF(ISBLANK(Equations!B191),"",Equations!B191)</f>
        <v/>
      </c>
    </row>
    <row r="194" spans="1:2">
      <c r="A194" s="43">
        <v>191</v>
      </c>
      <c r="B194" s="43" t="str">
        <f>IF(ISBLANK(Equations!B192),"",Equations!B192)</f>
        <v/>
      </c>
    </row>
    <row r="195" spans="1:2">
      <c r="A195" s="43">
        <v>192</v>
      </c>
      <c r="B195" s="43" t="str">
        <f>IF(ISBLANK(Equations!B193),"",Equations!B193)</f>
        <v/>
      </c>
    </row>
    <row r="196" spans="1:2">
      <c r="A196" s="43">
        <v>193</v>
      </c>
      <c r="B196" s="43" t="str">
        <f>IF(ISBLANK(Equations!B194),"",Equations!B194)</f>
        <v/>
      </c>
    </row>
    <row r="197" spans="1:2">
      <c r="A197" s="43">
        <v>194</v>
      </c>
      <c r="B197" s="43" t="str">
        <f>IF(ISBLANK(Equations!B195),"",Equations!B195)</f>
        <v/>
      </c>
    </row>
    <row r="198" spans="1:2">
      <c r="A198" s="43">
        <v>195</v>
      </c>
      <c r="B198" s="43" t="str">
        <f>IF(ISBLANK(Equations!B196),"",Equations!B196)</f>
        <v/>
      </c>
    </row>
    <row r="199" spans="1:2">
      <c r="A199" s="43">
        <v>196</v>
      </c>
      <c r="B199" s="43" t="str">
        <f>IF(ISBLANK(Equations!B197),"",Equations!B197)</f>
        <v/>
      </c>
    </row>
    <row r="200" spans="1:2">
      <c r="A200" s="43">
        <v>197</v>
      </c>
      <c r="B200" s="43" t="str">
        <f>IF(ISBLANK(Equations!B198),"",Equations!B198)</f>
        <v/>
      </c>
    </row>
    <row r="201" spans="1:2">
      <c r="A201" s="43">
        <v>198</v>
      </c>
      <c r="B201" s="43" t="str">
        <f>IF(ISBLANK(Equations!B199),"",Equations!B199)</f>
        <v/>
      </c>
    </row>
    <row r="202" spans="1:2">
      <c r="A202" s="43">
        <v>199</v>
      </c>
      <c r="B202" s="43" t="str">
        <f>IF(ISBLANK(Equations!B200),"",Equations!B200)</f>
        <v/>
      </c>
    </row>
    <row r="203" spans="1:2">
      <c r="A203" s="43">
        <v>200</v>
      </c>
      <c r="B203" s="43" t="str">
        <f>IF(ISBLANK(Equations!B201),"",Equations!B201)</f>
        <v/>
      </c>
    </row>
    <row r="204" spans="1:2">
      <c r="A204" s="43">
        <v>201</v>
      </c>
      <c r="B204" s="43" t="str">
        <f>IF(ISBLANK(Equations!B202),"",Equations!B202)</f>
        <v/>
      </c>
    </row>
    <row r="205" spans="1:2">
      <c r="A205" s="43">
        <v>202</v>
      </c>
      <c r="B205" s="43" t="str">
        <f>IF(ISBLANK(Equations!B203),"",Equations!B203)</f>
        <v/>
      </c>
    </row>
    <row r="206" spans="1:2">
      <c r="A206" s="43">
        <v>203</v>
      </c>
      <c r="B206" s="43" t="str">
        <f>IF(ISBLANK(Equations!B204),"",Equations!B204)</f>
        <v/>
      </c>
    </row>
    <row r="207" spans="1:2">
      <c r="A207" s="43">
        <v>204</v>
      </c>
      <c r="B207" s="43" t="str">
        <f>IF(ISBLANK(Equations!B205),"",Equations!B205)</f>
        <v/>
      </c>
    </row>
    <row r="208" spans="1:2">
      <c r="A208" s="43">
        <v>205</v>
      </c>
      <c r="B208" s="43" t="str">
        <f>IF(ISBLANK(Equations!B206),"",Equations!B206)</f>
        <v/>
      </c>
    </row>
    <row r="209" spans="1:2">
      <c r="A209" s="43">
        <v>206</v>
      </c>
      <c r="B209" s="43" t="str">
        <f>IF(ISBLANK(Equations!B207),"",Equations!B207)</f>
        <v/>
      </c>
    </row>
    <row r="210" spans="1:2">
      <c r="A210" s="43">
        <v>207</v>
      </c>
      <c r="B210" s="43" t="str">
        <f>IF(ISBLANK(Equations!B208),"",Equations!B208)</f>
        <v/>
      </c>
    </row>
    <row r="211" spans="1:2">
      <c r="A211" s="43">
        <v>208</v>
      </c>
      <c r="B211" s="43" t="str">
        <f>IF(ISBLANK(Equations!B209),"",Equations!B209)</f>
        <v/>
      </c>
    </row>
    <row r="212" spans="1:2">
      <c r="A212" s="43">
        <v>209</v>
      </c>
      <c r="B212" s="43" t="str">
        <f>IF(ISBLANK(Equations!B210),"",Equations!B210)</f>
        <v/>
      </c>
    </row>
    <row r="213" spans="1:2">
      <c r="A213" s="43">
        <v>210</v>
      </c>
      <c r="B213" s="43" t="str">
        <f>IF(ISBLANK(Equations!B211),"",Equations!B211)</f>
        <v/>
      </c>
    </row>
    <row r="214" spans="1:2">
      <c r="A214" s="43">
        <v>211</v>
      </c>
      <c r="B214" s="43" t="str">
        <f>IF(ISBLANK(Equations!B212),"",Equations!B212)</f>
        <v/>
      </c>
    </row>
    <row r="215" spans="1:2">
      <c r="A215" s="43">
        <v>212</v>
      </c>
      <c r="B215" s="43" t="str">
        <f>IF(ISBLANK(Equations!B213),"",Equations!B213)</f>
        <v/>
      </c>
    </row>
    <row r="216" spans="1:2">
      <c r="A216" s="43">
        <v>213</v>
      </c>
      <c r="B216" s="43" t="str">
        <f>IF(ISBLANK(Equations!B214),"",Equations!B214)</f>
        <v/>
      </c>
    </row>
    <row r="217" spans="1:2">
      <c r="A217" s="43">
        <v>214</v>
      </c>
      <c r="B217" s="43" t="str">
        <f>IF(ISBLANK(Equations!B215),"",Equations!B215)</f>
        <v/>
      </c>
    </row>
    <row r="218" spans="1:2">
      <c r="A218" s="43">
        <v>215</v>
      </c>
      <c r="B218" s="43" t="str">
        <f>IF(ISBLANK(Equations!B216),"",Equations!B216)</f>
        <v/>
      </c>
    </row>
    <row r="219" spans="1:2">
      <c r="A219" s="43">
        <v>216</v>
      </c>
      <c r="B219" s="43" t="str">
        <f>IF(ISBLANK(Equations!B217),"",Equations!B217)</f>
        <v/>
      </c>
    </row>
    <row r="220" spans="1:2">
      <c r="A220" s="43">
        <v>217</v>
      </c>
      <c r="B220" s="43" t="str">
        <f>IF(ISBLANK(Equations!B218),"",Equations!B218)</f>
        <v/>
      </c>
    </row>
    <row r="221" spans="1:2">
      <c r="A221" s="43">
        <v>218</v>
      </c>
      <c r="B221" s="43" t="str">
        <f>IF(ISBLANK(Equations!B219),"",Equations!B219)</f>
        <v/>
      </c>
    </row>
    <row r="222" spans="1:2">
      <c r="A222" s="43">
        <v>219</v>
      </c>
      <c r="B222" s="43" t="str">
        <f>IF(ISBLANK(Equations!B220),"",Equations!B220)</f>
        <v/>
      </c>
    </row>
    <row r="223" spans="1:2">
      <c r="A223" s="43">
        <v>220</v>
      </c>
      <c r="B223" s="43" t="str">
        <f>IF(ISBLANK(Equations!B221),"",Equations!B221)</f>
        <v/>
      </c>
    </row>
    <row r="224" spans="1:2">
      <c r="A224" s="43">
        <v>221</v>
      </c>
      <c r="B224" s="43" t="str">
        <f>IF(ISBLANK(Equations!B222),"",Equations!B222)</f>
        <v/>
      </c>
    </row>
    <row r="225" spans="1:2">
      <c r="A225" s="43">
        <v>222</v>
      </c>
      <c r="B225" s="43" t="str">
        <f>IF(ISBLANK(Equations!B223),"",Equations!B223)</f>
        <v/>
      </c>
    </row>
    <row r="226" spans="1:2">
      <c r="A226" s="43">
        <v>223</v>
      </c>
      <c r="B226" s="43" t="str">
        <f>IF(ISBLANK(Equations!B224),"",Equations!B224)</f>
        <v/>
      </c>
    </row>
    <row r="227" spans="1:2">
      <c r="A227" s="43">
        <v>224</v>
      </c>
      <c r="B227" s="43" t="str">
        <f>IF(ISBLANK(Equations!B225),"",Equations!B225)</f>
        <v/>
      </c>
    </row>
    <row r="228" spans="1:2">
      <c r="A228" s="43">
        <v>225</v>
      </c>
      <c r="B228" s="43" t="str">
        <f>IF(ISBLANK(Equations!B226),"",Equations!B226)</f>
        <v/>
      </c>
    </row>
    <row r="229" spans="1:2">
      <c r="A229" s="43">
        <v>226</v>
      </c>
      <c r="B229" s="43" t="str">
        <f>IF(ISBLANK(Equations!B227),"",Equations!B227)</f>
        <v/>
      </c>
    </row>
    <row r="230" spans="1:2">
      <c r="A230" s="43">
        <v>227</v>
      </c>
      <c r="B230" s="43" t="str">
        <f>IF(ISBLANK(Equations!B228),"",Equations!B228)</f>
        <v/>
      </c>
    </row>
    <row r="231" spans="1:2">
      <c r="A231" s="43">
        <v>228</v>
      </c>
      <c r="B231" s="43" t="str">
        <f>IF(ISBLANK(Equations!B229),"",Equations!B229)</f>
        <v/>
      </c>
    </row>
    <row r="232" spans="1:2">
      <c r="A232" s="43">
        <v>229</v>
      </c>
      <c r="B232" s="43" t="str">
        <f>IF(ISBLANK(Equations!B230),"",Equations!B230)</f>
        <v/>
      </c>
    </row>
    <row r="233" spans="1:2">
      <c r="A233" s="43">
        <v>230</v>
      </c>
      <c r="B233" s="43" t="str">
        <f>IF(ISBLANK(Equations!B231),"",Equations!B231)</f>
        <v/>
      </c>
    </row>
    <row r="234" spans="1:2">
      <c r="A234" s="43">
        <v>231</v>
      </c>
      <c r="B234" s="43" t="str">
        <f>IF(ISBLANK(Equations!B232),"",Equations!B232)</f>
        <v/>
      </c>
    </row>
    <row r="235" spans="1:2">
      <c r="A235" s="43">
        <v>232</v>
      </c>
      <c r="B235" s="43" t="str">
        <f>IF(ISBLANK(Equations!B233),"",Equations!B233)</f>
        <v/>
      </c>
    </row>
    <row r="236" spans="1:2">
      <c r="A236" s="43">
        <v>233</v>
      </c>
      <c r="B236" s="43" t="str">
        <f>IF(ISBLANK(Equations!B234),"",Equations!B234)</f>
        <v/>
      </c>
    </row>
    <row r="237" spans="1:2">
      <c r="A237" s="43">
        <v>234</v>
      </c>
      <c r="B237" s="43" t="str">
        <f>IF(ISBLANK(Equations!B235),"",Equations!B235)</f>
        <v/>
      </c>
    </row>
    <row r="238" spans="1:2">
      <c r="A238" s="43">
        <v>235</v>
      </c>
      <c r="B238" s="43" t="str">
        <f>IF(ISBLANK(Equations!B236),"",Equations!B236)</f>
        <v/>
      </c>
    </row>
    <row r="239" spans="1:2">
      <c r="A239" s="43">
        <v>236</v>
      </c>
      <c r="B239" s="43" t="str">
        <f>IF(ISBLANK(Equations!B237),"",Equations!B237)</f>
        <v/>
      </c>
    </row>
    <row r="240" spans="1:2">
      <c r="A240" s="43">
        <v>237</v>
      </c>
      <c r="B240" s="43" t="str">
        <f>IF(ISBLANK(Equations!B238),"",Equations!B238)</f>
        <v/>
      </c>
    </row>
    <row r="241" spans="1:2">
      <c r="A241" s="43">
        <v>238</v>
      </c>
      <c r="B241" s="43" t="str">
        <f>IF(ISBLANK(Equations!B239),"",Equations!B239)</f>
        <v/>
      </c>
    </row>
    <row r="242" spans="1:2">
      <c r="A242" s="43">
        <v>239</v>
      </c>
      <c r="B242" s="43" t="str">
        <f>IF(ISBLANK(Equations!B240),"",Equations!B240)</f>
        <v/>
      </c>
    </row>
    <row r="243" spans="1:2">
      <c r="A243" s="43">
        <v>240</v>
      </c>
      <c r="B243" s="43" t="str">
        <f>IF(ISBLANK(Equations!B241),"",Equations!B241)</f>
        <v/>
      </c>
    </row>
    <row r="244" spans="1:2">
      <c r="A244" s="43">
        <v>241</v>
      </c>
      <c r="B244" s="43" t="str">
        <f>IF(ISBLANK(Equations!B242),"",Equations!B242)</f>
        <v/>
      </c>
    </row>
    <row r="245" spans="1:2">
      <c r="A245" s="43">
        <v>242</v>
      </c>
      <c r="B245" s="43" t="str">
        <f>IF(ISBLANK(Equations!B243),"",Equations!B243)</f>
        <v/>
      </c>
    </row>
    <row r="246" spans="1:2">
      <c r="A246" s="43">
        <v>243</v>
      </c>
      <c r="B246" s="43" t="str">
        <f>IF(ISBLANK(Equations!B244),"",Equations!B244)</f>
        <v/>
      </c>
    </row>
    <row r="247" spans="1:2">
      <c r="A247" s="43">
        <v>244</v>
      </c>
      <c r="B247" s="43" t="str">
        <f>IF(ISBLANK(Equations!B245),"",Equations!B245)</f>
        <v/>
      </c>
    </row>
    <row r="248" spans="1:2">
      <c r="A248" s="43">
        <v>245</v>
      </c>
      <c r="B248" s="43" t="str">
        <f>IF(ISBLANK(Equations!B246),"",Equations!B246)</f>
        <v/>
      </c>
    </row>
    <row r="249" spans="1:2">
      <c r="A249" s="43">
        <v>246</v>
      </c>
      <c r="B249" s="43" t="str">
        <f>IF(ISBLANK(Equations!B247),"",Equations!B247)</f>
        <v/>
      </c>
    </row>
    <row r="250" spans="1:2">
      <c r="A250" s="43">
        <v>247</v>
      </c>
      <c r="B250" s="43" t="str">
        <f>IF(ISBLANK(Equations!B248),"",Equations!B248)</f>
        <v/>
      </c>
    </row>
    <row r="251" spans="1:2">
      <c r="A251" s="43">
        <v>248</v>
      </c>
      <c r="B251" s="43" t="str">
        <f>IF(ISBLANK(Equations!B249),"",Equations!B249)</f>
        <v/>
      </c>
    </row>
    <row r="252" spans="1:2">
      <c r="A252" s="43">
        <v>249</v>
      </c>
      <c r="B252" s="43" t="str">
        <f>IF(ISBLANK(Equations!B250),"",Equations!B250)</f>
        <v/>
      </c>
    </row>
    <row r="253" spans="1:2">
      <c r="A253" s="43">
        <v>250</v>
      </c>
      <c r="B253" s="43" t="str">
        <f>IF(ISBLANK(Equations!B251),"",Equations!B251)</f>
        <v/>
      </c>
    </row>
    <row r="254" spans="1:2">
      <c r="A254" s="44"/>
      <c r="B254" s="44"/>
    </row>
    <row r="255" spans="1:2">
      <c r="A255" s="44"/>
      <c r="B255" s="44"/>
    </row>
    <row r="256" spans="1:2">
      <c r="A256" s="44"/>
      <c r="B256" s="44"/>
    </row>
    <row r="257" spans="1:2">
      <c r="A257" s="44"/>
      <c r="B257" s="44"/>
    </row>
    <row r="258" spans="1:2">
      <c r="A258" s="44"/>
      <c r="B258" s="44"/>
    </row>
    <row r="259" spans="1:2">
      <c r="A259" s="44"/>
      <c r="B259" s="44"/>
    </row>
    <row r="260" spans="1:2">
      <c r="A260" s="44"/>
      <c r="B260" s="44"/>
    </row>
    <row r="261" spans="1:2">
      <c r="A261" s="44"/>
      <c r="B261" s="44"/>
    </row>
    <row r="262" spans="1:2">
      <c r="A262" s="44"/>
      <c r="B262" s="44"/>
    </row>
    <row r="263" spans="1:2">
      <c r="A263" s="44"/>
      <c r="B263" s="44"/>
    </row>
    <row r="264" spans="1:2">
      <c r="A264" s="44"/>
      <c r="B264" s="44"/>
    </row>
    <row r="265" spans="1:2">
      <c r="A265" s="44"/>
      <c r="B265" s="44"/>
    </row>
    <row r="266" spans="1:2">
      <c r="A266" s="44"/>
      <c r="B266" s="44"/>
    </row>
    <row r="267" spans="1:2">
      <c r="A267" s="44"/>
      <c r="B267" s="44"/>
    </row>
    <row r="268" spans="1:2">
      <c r="A268" s="44"/>
      <c r="B268" s="44"/>
    </row>
    <row r="269" spans="1:2">
      <c r="A269" s="44"/>
      <c r="B269" s="44"/>
    </row>
    <row r="270" spans="1:2">
      <c r="A270" s="44"/>
      <c r="B270" s="44"/>
    </row>
    <row r="271" spans="1:2">
      <c r="A271" s="44"/>
      <c r="B271" s="44"/>
    </row>
    <row r="272" spans="1:2">
      <c r="A272" s="44"/>
      <c r="B272" s="44"/>
    </row>
    <row r="273" spans="1:2">
      <c r="A273" s="44"/>
      <c r="B273" s="44"/>
    </row>
    <row r="274" spans="1:2">
      <c r="A274" s="44"/>
      <c r="B274" s="44"/>
    </row>
    <row r="275" spans="1:2">
      <c r="A275" s="44"/>
      <c r="B275" s="44"/>
    </row>
    <row r="276" spans="1:2">
      <c r="A276" s="44"/>
      <c r="B276" s="44"/>
    </row>
    <row r="277" spans="1:2">
      <c r="A277" s="44"/>
      <c r="B277" s="44"/>
    </row>
    <row r="278" spans="1:2">
      <c r="A278" s="44"/>
      <c r="B278" s="44"/>
    </row>
    <row r="279" spans="1:2">
      <c r="A279" s="44"/>
      <c r="B279" s="44"/>
    </row>
    <row r="280" spans="1:2">
      <c r="A280" s="44"/>
      <c r="B280" s="44"/>
    </row>
    <row r="281" spans="1:2">
      <c r="A281" s="44"/>
      <c r="B281" s="44"/>
    </row>
    <row r="282" spans="1:2">
      <c r="A282" s="44"/>
      <c r="B282" s="44"/>
    </row>
    <row r="283" spans="1:2">
      <c r="A283" s="44"/>
      <c r="B283" s="44"/>
    </row>
    <row r="284" spans="1:2">
      <c r="A284" s="44"/>
      <c r="B284" s="44"/>
    </row>
    <row r="285" spans="1:2">
      <c r="A285" s="44"/>
      <c r="B285" s="44"/>
    </row>
    <row r="286" spans="1:2">
      <c r="A286" s="44"/>
      <c r="B286" s="44"/>
    </row>
    <row r="287" spans="1:2">
      <c r="A287" s="44"/>
      <c r="B287" s="44"/>
    </row>
    <row r="288" spans="1:2">
      <c r="A288" s="44"/>
      <c r="B288" s="44"/>
    </row>
    <row r="289" spans="1:2">
      <c r="A289" s="44"/>
      <c r="B289" s="44"/>
    </row>
    <row r="290" spans="1:2">
      <c r="A290" s="44"/>
      <c r="B290" s="44"/>
    </row>
    <row r="291" spans="1:2">
      <c r="A291" s="44"/>
      <c r="B291" s="44"/>
    </row>
    <row r="292" spans="1:2">
      <c r="A292" s="44"/>
      <c r="B292" s="44"/>
    </row>
    <row r="293" spans="1:2">
      <c r="A293" s="44"/>
      <c r="B293" s="44"/>
    </row>
    <row r="294" spans="1:2">
      <c r="A294" s="44"/>
      <c r="B294" s="44"/>
    </row>
    <row r="295" spans="1:2">
      <c r="A295" s="44"/>
      <c r="B295" s="44"/>
    </row>
    <row r="296" spans="1:2">
      <c r="A296" s="44"/>
      <c r="B296" s="44"/>
    </row>
    <row r="297" spans="1:2">
      <c r="A297" s="44"/>
      <c r="B297" s="44"/>
    </row>
    <row r="298" spans="1:2">
      <c r="A298" s="44"/>
      <c r="B298" s="44"/>
    </row>
    <row r="299" spans="1:2">
      <c r="A299" s="44"/>
      <c r="B299" s="44"/>
    </row>
    <row r="300" spans="1:2">
      <c r="A300" s="44"/>
      <c r="B300" s="44"/>
    </row>
    <row r="301" spans="1:2">
      <c r="A301" s="44"/>
      <c r="B301" s="44"/>
    </row>
    <row r="302" spans="1:2">
      <c r="A302" s="44"/>
      <c r="B302" s="44"/>
    </row>
    <row r="303" spans="1:2">
      <c r="A303" s="44"/>
      <c r="B303" s="44"/>
    </row>
    <row r="304" spans="1:2">
      <c r="A304" s="44"/>
      <c r="B304" s="44"/>
    </row>
    <row r="305" spans="1:2">
      <c r="A305" s="44"/>
      <c r="B305" s="44"/>
    </row>
    <row r="306" spans="1:2">
      <c r="A306" s="44"/>
      <c r="B306" s="44"/>
    </row>
    <row r="307" spans="1:2">
      <c r="A307" s="44"/>
      <c r="B307" s="44"/>
    </row>
    <row r="308" spans="1:2">
      <c r="A308" s="44"/>
      <c r="B308" s="44"/>
    </row>
    <row r="309" spans="1:2">
      <c r="A309" s="44"/>
      <c r="B309" s="44"/>
    </row>
    <row r="310" spans="1:2">
      <c r="A310" s="44"/>
      <c r="B310" s="44"/>
    </row>
    <row r="311" spans="1:2">
      <c r="A311" s="44"/>
      <c r="B311" s="44"/>
    </row>
    <row r="312" spans="1:2">
      <c r="A312" s="44"/>
      <c r="B312" s="44"/>
    </row>
    <row r="313" spans="1:2">
      <c r="A313" s="44"/>
      <c r="B313" s="44"/>
    </row>
    <row r="314" spans="1:2">
      <c r="A314" s="44"/>
      <c r="B314" s="44"/>
    </row>
    <row r="315" spans="1:2">
      <c r="A315" s="44"/>
      <c r="B315" s="44"/>
    </row>
    <row r="316" spans="1:2">
      <c r="A316" s="44"/>
      <c r="B316" s="44"/>
    </row>
    <row r="317" spans="1:2">
      <c r="A317" s="44"/>
      <c r="B317" s="44"/>
    </row>
    <row r="318" spans="1:2">
      <c r="A318" s="44"/>
      <c r="B318" s="44"/>
    </row>
    <row r="319" spans="1:2">
      <c r="A319" s="44"/>
      <c r="B319" s="44"/>
    </row>
    <row r="320" spans="1:2">
      <c r="A320" s="44"/>
      <c r="B320" s="44"/>
    </row>
    <row r="321" spans="1:2">
      <c r="A321" s="44"/>
      <c r="B321" s="44"/>
    </row>
    <row r="322" spans="1:2">
      <c r="A322" s="44"/>
      <c r="B322" s="44"/>
    </row>
    <row r="323" spans="1:2">
      <c r="A323" s="44"/>
      <c r="B323" s="44"/>
    </row>
    <row r="324" spans="1:2">
      <c r="A324" s="44"/>
      <c r="B324" s="44"/>
    </row>
    <row r="325" spans="1:2">
      <c r="A325" s="44"/>
      <c r="B325" s="44"/>
    </row>
    <row r="326" spans="1:2">
      <c r="A326" s="44"/>
      <c r="B326" s="44"/>
    </row>
    <row r="327" spans="1:2">
      <c r="A327" s="44"/>
      <c r="B327" s="44"/>
    </row>
    <row r="328" spans="1:2">
      <c r="A328" s="44"/>
      <c r="B328" s="44"/>
    </row>
    <row r="329" spans="1:2">
      <c r="A329" s="44"/>
      <c r="B329" s="44"/>
    </row>
    <row r="330" spans="1:2">
      <c r="A330" s="44"/>
      <c r="B330" s="44"/>
    </row>
    <row r="331" spans="1:2">
      <c r="A331" s="44"/>
      <c r="B331" s="44"/>
    </row>
    <row r="332" spans="1:2">
      <c r="A332" s="44"/>
      <c r="B332" s="44"/>
    </row>
    <row r="333" spans="1:2">
      <c r="A333" s="44"/>
      <c r="B333" s="44"/>
    </row>
    <row r="334" spans="1:2">
      <c r="A334" s="44"/>
      <c r="B334" s="44"/>
    </row>
    <row r="335" spans="1:2">
      <c r="A335" s="44"/>
      <c r="B335" s="44"/>
    </row>
    <row r="336" spans="1:2">
      <c r="A336" s="44"/>
      <c r="B336" s="44"/>
    </row>
    <row r="337" spans="1:2">
      <c r="A337" s="44"/>
      <c r="B337" s="44"/>
    </row>
    <row r="338" spans="1:2">
      <c r="A338" s="44"/>
      <c r="B338" s="44"/>
    </row>
    <row r="339" spans="1:2">
      <c r="A339" s="44"/>
      <c r="B339" s="44"/>
    </row>
    <row r="340" spans="1:2">
      <c r="A340" s="44"/>
      <c r="B340" s="44"/>
    </row>
    <row r="341" spans="1:2">
      <c r="A341" s="44"/>
      <c r="B341" s="44"/>
    </row>
    <row r="342" spans="1:2">
      <c r="A342" s="44"/>
      <c r="B342" s="44"/>
    </row>
    <row r="343" spans="1:2">
      <c r="A343" s="44"/>
      <c r="B343" s="44"/>
    </row>
    <row r="344" spans="1:2">
      <c r="A344" s="44"/>
      <c r="B344" s="44"/>
    </row>
    <row r="345" spans="1:2">
      <c r="A345" s="44"/>
      <c r="B345" s="44"/>
    </row>
    <row r="346" spans="1:2">
      <c r="A346" s="44"/>
      <c r="B346" s="44"/>
    </row>
    <row r="347" spans="1:2">
      <c r="A347" s="44"/>
      <c r="B347" s="44"/>
    </row>
    <row r="348" spans="1:2">
      <c r="A348" s="44"/>
      <c r="B348" s="44"/>
    </row>
    <row r="349" spans="1:2">
      <c r="A349" s="44"/>
      <c r="B349" s="44"/>
    </row>
    <row r="350" spans="1:2">
      <c r="A350" s="44"/>
      <c r="B350" s="44"/>
    </row>
    <row r="351" spans="1:2">
      <c r="A351" s="44"/>
      <c r="B351" s="44"/>
    </row>
    <row r="352" spans="1:2">
      <c r="A352" s="44"/>
      <c r="B352" s="44"/>
    </row>
    <row r="353" spans="1:2">
      <c r="A353" s="44"/>
      <c r="B353" s="44"/>
    </row>
    <row r="354" spans="1:2">
      <c r="A354" s="44"/>
      <c r="B354" s="44"/>
    </row>
    <row r="355" spans="1:2">
      <c r="A355" s="44"/>
      <c r="B355" s="44"/>
    </row>
    <row r="356" spans="1:2">
      <c r="A356" s="44"/>
      <c r="B356" s="44"/>
    </row>
    <row r="357" spans="1:2">
      <c r="A357" s="44"/>
      <c r="B357" s="44"/>
    </row>
    <row r="358" spans="1:2">
      <c r="A358" s="44"/>
      <c r="B358" s="44"/>
    </row>
    <row r="359" spans="1:2">
      <c r="A359" s="44"/>
      <c r="B359" s="44"/>
    </row>
    <row r="360" spans="1:2">
      <c r="A360" s="44"/>
      <c r="B360" s="44"/>
    </row>
    <row r="361" spans="1:2">
      <c r="A361" s="44"/>
      <c r="B361" s="44"/>
    </row>
    <row r="362" spans="1:2">
      <c r="A362" s="44"/>
      <c r="B362" s="44"/>
    </row>
    <row r="363" spans="1:2">
      <c r="A363" s="44"/>
      <c r="B363" s="44"/>
    </row>
    <row r="364" spans="1:2">
      <c r="A364" s="44"/>
      <c r="B364" s="44"/>
    </row>
    <row r="365" spans="1:2">
      <c r="A365" s="44"/>
      <c r="B365" s="44"/>
    </row>
    <row r="366" spans="1:2">
      <c r="A366" s="44"/>
      <c r="B366" s="44"/>
    </row>
    <row r="367" spans="1:2">
      <c r="A367" s="44"/>
      <c r="B367" s="44"/>
    </row>
    <row r="368" spans="1:2">
      <c r="A368" s="44"/>
      <c r="B368" s="44"/>
    </row>
    <row r="369" spans="1:2">
      <c r="A369" s="44"/>
      <c r="B369" s="44"/>
    </row>
    <row r="370" spans="1:2">
      <c r="A370" s="44"/>
      <c r="B370" s="44"/>
    </row>
    <row r="371" spans="1:2">
      <c r="A371" s="44"/>
      <c r="B371" s="44"/>
    </row>
    <row r="372" spans="1:2">
      <c r="A372" s="44"/>
      <c r="B372" s="44"/>
    </row>
    <row r="373" spans="1:2">
      <c r="A373" s="44"/>
      <c r="B373" s="44"/>
    </row>
    <row r="374" spans="1:2">
      <c r="A374" s="44"/>
      <c r="B374" s="44"/>
    </row>
    <row r="375" spans="1:2">
      <c r="A375" s="44"/>
      <c r="B375" s="44"/>
    </row>
    <row r="376" spans="1:2">
      <c r="A376" s="44"/>
      <c r="B376" s="44"/>
    </row>
    <row r="377" spans="1:2">
      <c r="A377" s="44"/>
      <c r="B377" s="44"/>
    </row>
    <row r="378" spans="1:2">
      <c r="A378" s="44"/>
      <c r="B378" s="44"/>
    </row>
    <row r="379" spans="1:2">
      <c r="A379" s="44"/>
      <c r="B379" s="44"/>
    </row>
    <row r="380" spans="1:2">
      <c r="A380" s="44"/>
      <c r="B380" s="44"/>
    </row>
    <row r="381" spans="1:2">
      <c r="A381" s="44"/>
      <c r="B381" s="44"/>
    </row>
    <row r="382" spans="1:2">
      <c r="A382" s="44"/>
      <c r="B382" s="44"/>
    </row>
    <row r="383" spans="1:2">
      <c r="A383" s="44"/>
      <c r="B383" s="44"/>
    </row>
    <row r="384" spans="1:2">
      <c r="A384" s="44"/>
      <c r="B384" s="44"/>
    </row>
    <row r="385" spans="1:2">
      <c r="A385" s="44"/>
      <c r="B385" s="44"/>
    </row>
    <row r="386" spans="1:2">
      <c r="A386" s="44"/>
      <c r="B386" s="44"/>
    </row>
    <row r="387" spans="1:2">
      <c r="A387" s="44"/>
      <c r="B387" s="44"/>
    </row>
    <row r="388" spans="1:2">
      <c r="A388" s="44"/>
      <c r="B388" s="44"/>
    </row>
    <row r="389" spans="1:2">
      <c r="A389" s="44"/>
      <c r="B389" s="44"/>
    </row>
    <row r="390" spans="1:2">
      <c r="A390" s="44"/>
      <c r="B390" s="44"/>
    </row>
    <row r="391" spans="1:2">
      <c r="A391" s="44"/>
      <c r="B391" s="44"/>
    </row>
    <row r="392" spans="1:2">
      <c r="A392" s="44"/>
      <c r="B392" s="44"/>
    </row>
    <row r="393" spans="1:2">
      <c r="A393" s="44"/>
      <c r="B393" s="44"/>
    </row>
    <row r="394" spans="1:2">
      <c r="A394" s="44"/>
      <c r="B394" s="44"/>
    </row>
    <row r="395" spans="1:2">
      <c r="A395" s="44"/>
      <c r="B395" s="44"/>
    </row>
    <row r="396" spans="1:2">
      <c r="A396" s="44"/>
      <c r="B396" s="44"/>
    </row>
    <row r="397" spans="1:2">
      <c r="A397" s="44"/>
      <c r="B397" s="44"/>
    </row>
    <row r="398" spans="1:2">
      <c r="A398" s="44"/>
      <c r="B398" s="44"/>
    </row>
    <row r="399" spans="1:2">
      <c r="A399" s="44"/>
      <c r="B399" s="44"/>
    </row>
    <row r="400" spans="1:2">
      <c r="A400" s="44"/>
      <c r="B400" s="44"/>
    </row>
    <row r="401" spans="1:2">
      <c r="A401" s="44"/>
      <c r="B401" s="44"/>
    </row>
    <row r="402" spans="1:2">
      <c r="A402" s="44"/>
      <c r="B402" s="44"/>
    </row>
    <row r="403" spans="1:2">
      <c r="A403" s="44"/>
      <c r="B403" s="44"/>
    </row>
    <row r="404" spans="1:2">
      <c r="A404" s="44"/>
      <c r="B404" s="44"/>
    </row>
    <row r="405" spans="1:2">
      <c r="A405" s="44"/>
      <c r="B405" s="44"/>
    </row>
    <row r="406" spans="1:2">
      <c r="A406" s="44"/>
      <c r="B406" s="44"/>
    </row>
    <row r="407" spans="1:2">
      <c r="A407" s="44"/>
      <c r="B407" s="44"/>
    </row>
    <row r="408" spans="1:2">
      <c r="A408" s="44"/>
      <c r="B408" s="44"/>
    </row>
    <row r="409" spans="1:2">
      <c r="A409" s="44"/>
      <c r="B409" s="44"/>
    </row>
    <row r="410" spans="1:2">
      <c r="A410" s="44"/>
      <c r="B410" s="44"/>
    </row>
    <row r="411" spans="1:2">
      <c r="A411" s="44"/>
      <c r="B411" s="44"/>
    </row>
    <row r="412" spans="1:2">
      <c r="A412" s="44"/>
      <c r="B412" s="44"/>
    </row>
    <row r="413" spans="1:2">
      <c r="A413" s="44"/>
      <c r="B413" s="44"/>
    </row>
    <row r="414" spans="1:2">
      <c r="A414" s="44"/>
      <c r="B414" s="44"/>
    </row>
    <row r="415" spans="1:2">
      <c r="A415" s="44"/>
      <c r="B415" s="44"/>
    </row>
    <row r="416" spans="1:2">
      <c r="A416" s="44"/>
      <c r="B416" s="44"/>
    </row>
    <row r="417" spans="1:2">
      <c r="A417" s="44"/>
      <c r="B417" s="44"/>
    </row>
    <row r="418" spans="1:2">
      <c r="A418" s="44"/>
      <c r="B418" s="44"/>
    </row>
    <row r="419" spans="1:2">
      <c r="A419" s="44"/>
      <c r="B419" s="44"/>
    </row>
    <row r="420" spans="1:2">
      <c r="A420" s="44"/>
      <c r="B420" s="44"/>
    </row>
    <row r="421" spans="1:2">
      <c r="A421" s="44"/>
      <c r="B421" s="44"/>
    </row>
    <row r="422" spans="1:2">
      <c r="A422" s="44"/>
      <c r="B422" s="44"/>
    </row>
    <row r="423" spans="1:2">
      <c r="A423" s="44"/>
      <c r="B423" s="44"/>
    </row>
    <row r="424" spans="1:2">
      <c r="A424" s="44"/>
      <c r="B424" s="44"/>
    </row>
    <row r="425" spans="1:2">
      <c r="A425" s="44"/>
      <c r="B425" s="44"/>
    </row>
    <row r="426" spans="1:2">
      <c r="A426" s="44"/>
      <c r="B426" s="44"/>
    </row>
    <row r="427" spans="1:2">
      <c r="A427" s="44"/>
      <c r="B427" s="44"/>
    </row>
    <row r="428" spans="1:2">
      <c r="A428" s="44"/>
      <c r="B428" s="44"/>
    </row>
    <row r="429" spans="1:2">
      <c r="A429" s="44"/>
      <c r="B429" s="44"/>
    </row>
    <row r="430" spans="1:2">
      <c r="A430" s="44"/>
      <c r="B430" s="44"/>
    </row>
    <row r="431" spans="1:2">
      <c r="A431" s="44"/>
      <c r="B431" s="44"/>
    </row>
    <row r="432" spans="1:2">
      <c r="A432" s="44"/>
      <c r="B432" s="44"/>
    </row>
    <row r="433" spans="1:2">
      <c r="A433" s="44"/>
      <c r="B433" s="44"/>
    </row>
    <row r="434" spans="1:2">
      <c r="A434" s="44"/>
      <c r="B434" s="44"/>
    </row>
    <row r="435" spans="1:2">
      <c r="A435" s="44"/>
      <c r="B435" s="44"/>
    </row>
    <row r="436" spans="1:2">
      <c r="A436" s="44"/>
      <c r="B436" s="44"/>
    </row>
    <row r="437" spans="1:2">
      <c r="A437" s="44"/>
      <c r="B437" s="44"/>
    </row>
    <row r="438" spans="1:2">
      <c r="A438" s="44"/>
      <c r="B438" s="44"/>
    </row>
    <row r="439" spans="1:2">
      <c r="A439" s="44"/>
      <c r="B439" s="44"/>
    </row>
    <row r="440" spans="1:2">
      <c r="A440" s="44"/>
      <c r="B440" s="44"/>
    </row>
    <row r="441" spans="1:2">
      <c r="A441" s="44"/>
      <c r="B441" s="44"/>
    </row>
    <row r="442" spans="1:2">
      <c r="A442" s="44"/>
      <c r="B442" s="44"/>
    </row>
    <row r="443" spans="1:2">
      <c r="A443" s="44"/>
      <c r="B443" s="44"/>
    </row>
    <row r="444" spans="1:2">
      <c r="A444" s="44"/>
      <c r="B444" s="44"/>
    </row>
    <row r="445" spans="1:2">
      <c r="A445" s="44"/>
      <c r="B445" s="44"/>
    </row>
    <row r="446" spans="1:2">
      <c r="A446" s="44"/>
      <c r="B446" s="44"/>
    </row>
    <row r="447" spans="1:2">
      <c r="A447" s="44"/>
      <c r="B447" s="44"/>
    </row>
    <row r="448" spans="1:2">
      <c r="A448" s="44"/>
      <c r="B448" s="44"/>
    </row>
    <row r="449" spans="1:2">
      <c r="A449" s="44"/>
      <c r="B449" s="44"/>
    </row>
    <row r="450" spans="1:2">
      <c r="A450" s="44"/>
      <c r="B450" s="44"/>
    </row>
    <row r="451" spans="1:2">
      <c r="A451" s="44"/>
      <c r="B451" s="44"/>
    </row>
    <row r="452" spans="1:2">
      <c r="A452" s="44"/>
      <c r="B452" s="44"/>
    </row>
    <row r="453" spans="1:2">
      <c r="A453" s="44"/>
      <c r="B453" s="44"/>
    </row>
    <row r="454" spans="1:2">
      <c r="A454" s="44"/>
      <c r="B454" s="44"/>
    </row>
    <row r="455" spans="1:2">
      <c r="A455" s="44"/>
      <c r="B455" s="44"/>
    </row>
    <row r="456" spans="1:2">
      <c r="A456" s="44"/>
      <c r="B456" s="44"/>
    </row>
    <row r="457" spans="1:2">
      <c r="A457" s="44"/>
      <c r="B457" s="44"/>
    </row>
    <row r="458" spans="1:2">
      <c r="A458" s="44"/>
      <c r="B458" s="44"/>
    </row>
    <row r="459" spans="1:2">
      <c r="A459" s="44"/>
      <c r="B459" s="44"/>
    </row>
    <row r="460" spans="1:2">
      <c r="A460" s="44"/>
      <c r="B460" s="44"/>
    </row>
    <row r="461" spans="1:2">
      <c r="A461" s="44"/>
      <c r="B461" s="44"/>
    </row>
    <row r="462" spans="1:2">
      <c r="A462" s="44"/>
      <c r="B462" s="44"/>
    </row>
    <row r="463" spans="1:2">
      <c r="A463" s="44"/>
      <c r="B463" s="44"/>
    </row>
    <row r="464" spans="1:2">
      <c r="A464" s="44"/>
      <c r="B464" s="44"/>
    </row>
    <row r="465" spans="1:2">
      <c r="A465" s="44"/>
      <c r="B465" s="44"/>
    </row>
    <row r="466" spans="1:2">
      <c r="A466" s="44"/>
      <c r="B466" s="44"/>
    </row>
    <row r="467" spans="1:2">
      <c r="A467" s="44"/>
      <c r="B467" s="44"/>
    </row>
    <row r="468" spans="1:2">
      <c r="A468" s="44"/>
      <c r="B468" s="44"/>
    </row>
    <row r="469" spans="1:2">
      <c r="A469" s="44"/>
      <c r="B469" s="44"/>
    </row>
    <row r="470" spans="1:2">
      <c r="A470" s="44"/>
      <c r="B470" s="44"/>
    </row>
    <row r="471" spans="1:2">
      <c r="A471" s="44"/>
      <c r="B471" s="44"/>
    </row>
    <row r="472" spans="1:2">
      <c r="A472" s="44"/>
      <c r="B472" s="44"/>
    </row>
    <row r="473" spans="1:2">
      <c r="A473" s="44"/>
      <c r="B473" s="44"/>
    </row>
    <row r="474" spans="1:2">
      <c r="A474" s="44"/>
      <c r="B474" s="44"/>
    </row>
    <row r="475" spans="1:2">
      <c r="A475" s="44"/>
      <c r="B475" s="44"/>
    </row>
    <row r="476" spans="1:2">
      <c r="A476" s="44"/>
      <c r="B476" s="44"/>
    </row>
    <row r="477" spans="1:2">
      <c r="A477" s="44"/>
      <c r="B477" s="44"/>
    </row>
    <row r="478" spans="1:2">
      <c r="A478" s="44"/>
      <c r="B478" s="44"/>
    </row>
    <row r="479" spans="1:2">
      <c r="A479" s="44"/>
      <c r="B479" s="44"/>
    </row>
    <row r="480" spans="1:2">
      <c r="A480" s="44"/>
      <c r="B480" s="44"/>
    </row>
    <row r="481" spans="1:2">
      <c r="A481" s="44"/>
      <c r="B481" s="44"/>
    </row>
    <row r="482" spans="1:2">
      <c r="A482" s="44"/>
      <c r="B482" s="44"/>
    </row>
    <row r="483" spans="1:2">
      <c r="A483" s="44"/>
      <c r="B483" s="44"/>
    </row>
    <row r="484" spans="1:2">
      <c r="A484" s="44"/>
      <c r="B484" s="44"/>
    </row>
    <row r="485" spans="1:2">
      <c r="A485" s="44"/>
      <c r="B485" s="44"/>
    </row>
    <row r="486" spans="1:2">
      <c r="A486" s="44"/>
      <c r="B486" s="44"/>
    </row>
    <row r="487" spans="1:2">
      <c r="A487" s="44"/>
      <c r="B487" s="44"/>
    </row>
    <row r="488" spans="1:2">
      <c r="A488" s="44"/>
      <c r="B488" s="44"/>
    </row>
    <row r="489" spans="1:2">
      <c r="A489" s="44"/>
      <c r="B489" s="44"/>
    </row>
    <row r="490" spans="1:2">
      <c r="A490" s="44"/>
      <c r="B490" s="44"/>
    </row>
    <row r="491" spans="1:2">
      <c r="A491" s="44"/>
      <c r="B491" s="44"/>
    </row>
    <row r="492" spans="1:2">
      <c r="A492" s="44"/>
      <c r="B492" s="44"/>
    </row>
    <row r="493" spans="1:2">
      <c r="A493" s="44"/>
      <c r="B493" s="44"/>
    </row>
    <row r="494" spans="1:2">
      <c r="A494" s="44"/>
      <c r="B494" s="44"/>
    </row>
    <row r="495" spans="1:2">
      <c r="A495" s="44"/>
      <c r="B495" s="44"/>
    </row>
    <row r="496" spans="1:2">
      <c r="A496" s="44"/>
      <c r="B496" s="44"/>
    </row>
    <row r="497" spans="1:2">
      <c r="A497" s="44"/>
      <c r="B497" s="44"/>
    </row>
    <row r="498" spans="1:2">
      <c r="A498" s="44"/>
      <c r="B498" s="44"/>
    </row>
    <row r="499" spans="1:2">
      <c r="A499" s="44"/>
      <c r="B499" s="44"/>
    </row>
    <row r="500" spans="1:2">
      <c r="A500" s="44"/>
      <c r="B500" s="44"/>
    </row>
    <row r="501" spans="1:2">
      <c r="A501" s="44"/>
      <c r="B501" s="44"/>
    </row>
    <row r="502" spans="1:2">
      <c r="A502" s="44"/>
      <c r="B502" s="44"/>
    </row>
    <row r="503" spans="1:2">
      <c r="A503" s="44"/>
      <c r="B503" s="44"/>
    </row>
    <row r="504" spans="1:2">
      <c r="A504" s="44"/>
      <c r="B504" s="44"/>
    </row>
    <row r="505" spans="1:2">
      <c r="A505" s="44"/>
      <c r="B505" s="44"/>
    </row>
    <row r="506" spans="1:2">
      <c r="A506" s="44"/>
      <c r="B506" s="44"/>
    </row>
    <row r="507" spans="1:2">
      <c r="A507" s="44"/>
      <c r="B507" s="44"/>
    </row>
    <row r="508" spans="1:2">
      <c r="A508" s="44"/>
      <c r="B508" s="44"/>
    </row>
    <row r="509" spans="1:2">
      <c r="A509" s="44"/>
      <c r="B509" s="44"/>
    </row>
    <row r="510" spans="1:2">
      <c r="A510" s="44"/>
      <c r="B510" s="44"/>
    </row>
    <row r="511" spans="1:2">
      <c r="A511" s="44"/>
      <c r="B511" s="44"/>
    </row>
    <row r="512" spans="1:2">
      <c r="A512" s="44"/>
      <c r="B512" s="44"/>
    </row>
    <row r="513" spans="1:2">
      <c r="A513" s="44"/>
      <c r="B513" s="44"/>
    </row>
    <row r="514" spans="1:2">
      <c r="A514" s="44"/>
      <c r="B514" s="44"/>
    </row>
    <row r="515" spans="1:2">
      <c r="A515" s="44"/>
      <c r="B515" s="44"/>
    </row>
    <row r="516" spans="1:2">
      <c r="A516" s="44"/>
      <c r="B516" s="44"/>
    </row>
    <row r="517" spans="1:2">
      <c r="A517" s="44"/>
      <c r="B517" s="44"/>
    </row>
    <row r="518" spans="1:2">
      <c r="A518" s="44"/>
      <c r="B518" s="44"/>
    </row>
    <row r="519" spans="1:2">
      <c r="A519" s="44"/>
      <c r="B519" s="44"/>
    </row>
    <row r="520" spans="1:2">
      <c r="A520" s="44"/>
      <c r="B520" s="44"/>
    </row>
    <row r="521" spans="1:2">
      <c r="A521" s="44"/>
      <c r="B521" s="44"/>
    </row>
    <row r="522" spans="1:2">
      <c r="A522" s="44"/>
      <c r="B522" s="44"/>
    </row>
    <row r="523" spans="1:2">
      <c r="A523" s="44"/>
      <c r="B523" s="44"/>
    </row>
    <row r="524" spans="1:2">
      <c r="A524" s="44"/>
      <c r="B524" s="44"/>
    </row>
    <row r="525" spans="1:2">
      <c r="A525" s="44"/>
      <c r="B525" s="44"/>
    </row>
    <row r="526" spans="1:2">
      <c r="A526" s="44"/>
      <c r="B526" s="44"/>
    </row>
    <row r="527" spans="1:2">
      <c r="A527" s="44"/>
      <c r="B527" s="44"/>
    </row>
    <row r="528" spans="1:2">
      <c r="A528" s="44"/>
      <c r="B528" s="44"/>
    </row>
    <row r="529" spans="1:2">
      <c r="A529" s="44"/>
      <c r="B529" s="44"/>
    </row>
    <row r="530" spans="1:2">
      <c r="A530" s="44"/>
      <c r="B530" s="44"/>
    </row>
    <row r="531" spans="1:2">
      <c r="A531" s="44"/>
      <c r="B531" s="44"/>
    </row>
    <row r="532" spans="1:2">
      <c r="A532" s="44"/>
      <c r="B532" s="44"/>
    </row>
    <row r="533" spans="1:2">
      <c r="A533" s="44"/>
      <c r="B533" s="44"/>
    </row>
    <row r="534" spans="1:2">
      <c r="A534" s="44"/>
      <c r="B534" s="44"/>
    </row>
    <row r="535" spans="1:2">
      <c r="A535" s="44"/>
      <c r="B535" s="44"/>
    </row>
    <row r="536" spans="1:2">
      <c r="A536" s="44"/>
      <c r="B536" s="44"/>
    </row>
    <row r="537" spans="1:2">
      <c r="A537" s="44"/>
      <c r="B537" s="44"/>
    </row>
    <row r="538" spans="1:2">
      <c r="A538" s="44"/>
      <c r="B538" s="44"/>
    </row>
    <row r="539" spans="1:2">
      <c r="A539" s="44"/>
      <c r="B539" s="44"/>
    </row>
    <row r="540" spans="1:2">
      <c r="A540" s="44"/>
      <c r="B540" s="44"/>
    </row>
    <row r="541" spans="1:2">
      <c r="A541" s="44"/>
      <c r="B541" s="44"/>
    </row>
    <row r="542" spans="1:2">
      <c r="A542" s="44"/>
      <c r="B542" s="44"/>
    </row>
    <row r="543" spans="1:2">
      <c r="A543" s="44"/>
      <c r="B543" s="44"/>
    </row>
    <row r="544" spans="1:2">
      <c r="A544" s="44"/>
      <c r="B544" s="44"/>
    </row>
    <row r="545" spans="1:2">
      <c r="A545" s="44"/>
      <c r="B545" s="44"/>
    </row>
    <row r="546" spans="1:2">
      <c r="A546" s="44"/>
      <c r="B546" s="44"/>
    </row>
    <row r="547" spans="1:2">
      <c r="A547" s="44"/>
      <c r="B547" s="44"/>
    </row>
    <row r="548" spans="1:2">
      <c r="A548" s="44"/>
      <c r="B548" s="44"/>
    </row>
    <row r="549" spans="1:2">
      <c r="A549" s="44"/>
      <c r="B549" s="44"/>
    </row>
    <row r="550" spans="1:2">
      <c r="A550" s="44"/>
      <c r="B550" s="44"/>
    </row>
    <row r="551" spans="1:2">
      <c r="A551" s="44"/>
      <c r="B551" s="44"/>
    </row>
    <row r="552" spans="1:2">
      <c r="A552" s="44"/>
      <c r="B552" s="44"/>
    </row>
    <row r="553" spans="1:2">
      <c r="A553" s="44"/>
      <c r="B553" s="44"/>
    </row>
    <row r="554" spans="1:2">
      <c r="A554" s="44"/>
      <c r="B554" s="44"/>
    </row>
    <row r="555" spans="1:2">
      <c r="A555" s="44"/>
      <c r="B555" s="44"/>
    </row>
    <row r="556" spans="1:2">
      <c r="A556" s="44"/>
      <c r="B556" s="44"/>
    </row>
    <row r="557" spans="1:2">
      <c r="A557" s="44"/>
      <c r="B557" s="44"/>
    </row>
    <row r="558" spans="1:2">
      <c r="A558" s="44"/>
      <c r="B558" s="44"/>
    </row>
    <row r="559" spans="1:2">
      <c r="A559" s="44"/>
      <c r="B559" s="44"/>
    </row>
    <row r="560" spans="1:2">
      <c r="A560" s="44"/>
      <c r="B560" s="44"/>
    </row>
    <row r="561" spans="1:2">
      <c r="A561" s="44"/>
      <c r="B561" s="44"/>
    </row>
    <row r="562" spans="1:2">
      <c r="A562" s="44"/>
      <c r="B562" s="44"/>
    </row>
    <row r="563" spans="1:2">
      <c r="A563" s="44"/>
      <c r="B563" s="44"/>
    </row>
    <row r="564" spans="1:2">
      <c r="A564" s="44"/>
      <c r="B564" s="44"/>
    </row>
    <row r="565" spans="1:2">
      <c r="A565" s="44"/>
      <c r="B565" s="44"/>
    </row>
    <row r="566" spans="1:2">
      <c r="A566" s="44"/>
      <c r="B566" s="44"/>
    </row>
    <row r="567" spans="1:2">
      <c r="A567" s="44"/>
      <c r="B567" s="44"/>
    </row>
    <row r="568" spans="1:2">
      <c r="A568" s="44"/>
      <c r="B568" s="44"/>
    </row>
    <row r="569" spans="1:2">
      <c r="A569" s="44"/>
      <c r="B569" s="44"/>
    </row>
    <row r="570" spans="1:2">
      <c r="A570" s="44"/>
      <c r="B570" s="44"/>
    </row>
    <row r="571" spans="1:2">
      <c r="A571" s="44"/>
      <c r="B571" s="44"/>
    </row>
    <row r="572" spans="1:2">
      <c r="A572" s="44"/>
      <c r="B572" s="44"/>
    </row>
    <row r="573" spans="1:2">
      <c r="A573" s="44"/>
      <c r="B573" s="44"/>
    </row>
    <row r="574" spans="1:2">
      <c r="A574" s="44"/>
      <c r="B574" s="44"/>
    </row>
    <row r="575" spans="1:2">
      <c r="A575" s="44"/>
      <c r="B575" s="44"/>
    </row>
    <row r="576" spans="1:2">
      <c r="A576" s="44"/>
      <c r="B576" s="44"/>
    </row>
    <row r="577" spans="1:2">
      <c r="A577" s="44"/>
      <c r="B577" s="44"/>
    </row>
    <row r="578" spans="1:2">
      <c r="A578" s="44"/>
      <c r="B578" s="44"/>
    </row>
    <row r="579" spans="1:2">
      <c r="A579" s="44"/>
      <c r="B579" s="44"/>
    </row>
    <row r="580" spans="1:2">
      <c r="A580" s="44"/>
      <c r="B580" s="44"/>
    </row>
    <row r="581" spans="1:2">
      <c r="A581" s="44"/>
      <c r="B581" s="44"/>
    </row>
    <row r="582" spans="1:2">
      <c r="A582" s="44"/>
      <c r="B582" s="44"/>
    </row>
    <row r="583" spans="1:2">
      <c r="A583" s="44"/>
      <c r="B583" s="44"/>
    </row>
    <row r="584" spans="1:2">
      <c r="A584" s="44"/>
      <c r="B584" s="44"/>
    </row>
    <row r="585" spans="1:2">
      <c r="A585" s="44"/>
      <c r="B585" s="44"/>
    </row>
    <row r="586" spans="1:2">
      <c r="A586" s="44"/>
      <c r="B586" s="44"/>
    </row>
    <row r="587" spans="1:2">
      <c r="A587" s="44"/>
      <c r="B587" s="44"/>
    </row>
    <row r="588" spans="1:2">
      <c r="A588" s="44"/>
      <c r="B588" s="44"/>
    </row>
    <row r="589" spans="1:2">
      <c r="A589" s="44"/>
      <c r="B589" s="44"/>
    </row>
    <row r="590" spans="1:2">
      <c r="A590" s="44"/>
      <c r="B590" s="44"/>
    </row>
    <row r="591" spans="1:2">
      <c r="A591" s="44"/>
      <c r="B591" s="44"/>
    </row>
    <row r="592" spans="1:2">
      <c r="A592" s="44"/>
      <c r="B592" s="44"/>
    </row>
    <row r="593" spans="1:2">
      <c r="A593" s="44"/>
      <c r="B593" s="44"/>
    </row>
    <row r="594" spans="1:2">
      <c r="A594" s="44"/>
      <c r="B594" s="44"/>
    </row>
    <row r="595" spans="1:2">
      <c r="A595" s="44"/>
      <c r="B595" s="44"/>
    </row>
    <row r="596" spans="1:2">
      <c r="A596" s="44"/>
      <c r="B596" s="44"/>
    </row>
    <row r="597" spans="1:2">
      <c r="A597" s="44"/>
      <c r="B597" s="44"/>
    </row>
    <row r="598" spans="1:2">
      <c r="A598" s="44"/>
      <c r="B598" s="44"/>
    </row>
    <row r="599" spans="1:2">
      <c r="A599" s="44"/>
      <c r="B599" s="44"/>
    </row>
    <row r="600" spans="1:2">
      <c r="A600" s="44"/>
      <c r="B600" s="44"/>
    </row>
    <row r="601" spans="1:2">
      <c r="A601" s="44"/>
      <c r="B601" s="44"/>
    </row>
    <row r="602" spans="1:2">
      <c r="A602" s="44"/>
      <c r="B602" s="44"/>
    </row>
    <row r="603" spans="1:2">
      <c r="A603" s="44"/>
      <c r="B603" s="44"/>
    </row>
    <row r="604" spans="1:2">
      <c r="A604" s="44"/>
      <c r="B604" s="44"/>
    </row>
    <row r="605" spans="1:2">
      <c r="A605" s="44"/>
      <c r="B605" s="44"/>
    </row>
    <row r="606" spans="1:2">
      <c r="A606" s="44"/>
      <c r="B606" s="44"/>
    </row>
    <row r="607" spans="1:2">
      <c r="A607" s="44"/>
      <c r="B607" s="44"/>
    </row>
    <row r="608" spans="1:2">
      <c r="A608" s="44"/>
      <c r="B608" s="44"/>
    </row>
    <row r="609" spans="1:2">
      <c r="A609" s="44"/>
      <c r="B609" s="44"/>
    </row>
    <row r="610" spans="1:2">
      <c r="A610" s="44"/>
      <c r="B610" s="44"/>
    </row>
    <row r="611" spans="1:2">
      <c r="A611" s="44"/>
      <c r="B611" s="44"/>
    </row>
    <row r="612" spans="1:2">
      <c r="A612" s="44"/>
      <c r="B612" s="44"/>
    </row>
    <row r="613" spans="1:2">
      <c r="A613" s="44"/>
      <c r="B613" s="44"/>
    </row>
    <row r="614" spans="1:2">
      <c r="A614" s="44"/>
      <c r="B614" s="44"/>
    </row>
    <row r="615" spans="1:2">
      <c r="A615" s="44"/>
      <c r="B615" s="44"/>
    </row>
    <row r="616" spans="1:2">
      <c r="A616" s="44"/>
      <c r="B616" s="44"/>
    </row>
    <row r="617" spans="1:2">
      <c r="A617" s="44"/>
      <c r="B617" s="44"/>
    </row>
    <row r="618" spans="1:2">
      <c r="A618" s="44"/>
      <c r="B618" s="44"/>
    </row>
    <row r="619" spans="1:2">
      <c r="A619" s="44"/>
      <c r="B619" s="44"/>
    </row>
    <row r="620" spans="1:2">
      <c r="A620" s="44"/>
      <c r="B620" s="44"/>
    </row>
    <row r="621" spans="1:2">
      <c r="A621" s="44"/>
      <c r="B621" s="44"/>
    </row>
    <row r="622" spans="1:2">
      <c r="A622" s="44"/>
      <c r="B622" s="44"/>
    </row>
    <row r="623" spans="1:2">
      <c r="A623" s="44"/>
      <c r="B623" s="44"/>
    </row>
    <row r="624" spans="1:2">
      <c r="A624" s="44"/>
      <c r="B624" s="44"/>
    </row>
    <row r="625" spans="1:2">
      <c r="A625" s="44"/>
      <c r="B625" s="44"/>
    </row>
    <row r="626" spans="1:2">
      <c r="A626" s="44"/>
      <c r="B626" s="44"/>
    </row>
    <row r="627" spans="1:2">
      <c r="A627" s="44"/>
      <c r="B627" s="44"/>
    </row>
    <row r="628" spans="1:2">
      <c r="A628" s="44"/>
      <c r="B628" s="44"/>
    </row>
    <row r="629" spans="1:2">
      <c r="A629" s="44"/>
      <c r="B629" s="44"/>
    </row>
    <row r="630" spans="1:2">
      <c r="A630" s="44"/>
      <c r="B630" s="44"/>
    </row>
    <row r="631" spans="1:2">
      <c r="A631" s="44"/>
      <c r="B631" s="44"/>
    </row>
    <row r="632" spans="1:2">
      <c r="A632" s="44"/>
      <c r="B632" s="44"/>
    </row>
    <row r="633" spans="1:2">
      <c r="A633" s="44"/>
      <c r="B633" s="44"/>
    </row>
    <row r="634" spans="1:2">
      <c r="A634" s="44"/>
      <c r="B634" s="44"/>
    </row>
    <row r="635" spans="1:2">
      <c r="A635" s="44"/>
      <c r="B635" s="44"/>
    </row>
    <row r="636" spans="1:2">
      <c r="A636" s="44"/>
      <c r="B636" s="44"/>
    </row>
    <row r="637" spans="1:2">
      <c r="A637" s="44"/>
      <c r="B637" s="44"/>
    </row>
    <row r="638" spans="1:2">
      <c r="A638" s="44"/>
      <c r="B638" s="44"/>
    </row>
    <row r="639" spans="1:2">
      <c r="A639" s="44"/>
      <c r="B639" s="44"/>
    </row>
    <row r="640" spans="1:2">
      <c r="A640" s="44"/>
      <c r="B640" s="44"/>
    </row>
    <row r="641" spans="1:2">
      <c r="A641" s="44"/>
      <c r="B641" s="44"/>
    </row>
    <row r="642" spans="1:2">
      <c r="A642" s="44"/>
      <c r="B642" s="44"/>
    </row>
    <row r="643" spans="1:2">
      <c r="A643" s="44"/>
      <c r="B643" s="44"/>
    </row>
    <row r="644" spans="1:2">
      <c r="A644" s="44"/>
      <c r="B644" s="44"/>
    </row>
  </sheetData>
  <sheetProtection sheet="1" objects="1" scenarios="1"/>
  <mergeCells count="2">
    <mergeCell ref="F13:K35"/>
    <mergeCell ref="F4:F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31779-278A-E549-A1D7-E53266B73AE8}">
  <sheetPr codeName="Blad5"/>
  <dimension ref="A1:J115"/>
  <sheetViews>
    <sheetView workbookViewId="0">
      <selection activeCell="C21" sqref="C21"/>
    </sheetView>
  </sheetViews>
  <sheetFormatPr baseColWidth="10" defaultRowHeight="16"/>
  <cols>
    <col min="1" max="1" width="33.33203125" customWidth="1"/>
    <col min="2" max="2" width="31.6640625" customWidth="1"/>
    <col min="3" max="3" width="38.83203125" customWidth="1"/>
    <col min="5" max="5" width="20.33203125" customWidth="1"/>
    <col min="6" max="7" width="28.5" customWidth="1"/>
    <col min="8" max="8" width="40.83203125" customWidth="1"/>
    <col min="9" max="9" width="25" customWidth="1"/>
    <col min="10" max="10" width="48.33203125" customWidth="1"/>
  </cols>
  <sheetData>
    <row r="1" spans="1:10">
      <c r="A1" s="1" t="s">
        <v>71</v>
      </c>
      <c r="F1" t="s">
        <v>72</v>
      </c>
      <c r="H1" t="str">
        <f>"ALS("&amp;F1&amp;"=z"&amp;";"""";"&amp;F1&amp;")"&amp;";"</f>
        <v>ALS(A2=z;"";A2);</v>
      </c>
    </row>
    <row r="2" spans="1:10">
      <c r="A2" t="str">
        <f t="array" aca="1" ref="A2" ca="1">IFERROR(INDEX(Symbols!$M$2:$M$1101,SMALL(IF(ISNUMBER(Symbols!E$2:E$1101),ROW(Symbols!$M$2:$M$1101)-ROW(Symbols!$M$2)+1,""),ROWS(Symbols!$M$2:M2))),"")</f>
        <v>g &amp; \Eg \\</v>
      </c>
      <c r="C2" t="str">
        <f>"--&gt; content helping to compose formulas"</f>
        <v>--&gt; content helping to compose formulas</v>
      </c>
      <c r="E2" t="s">
        <v>110</v>
      </c>
      <c r="F2" t="s">
        <v>73</v>
      </c>
      <c r="H2" t="str">
        <f>"ALS("&amp;F2&amp;"=z"&amp;";"""";"&amp;E2&amp;")"&amp;";"</f>
        <v>ALS(A3=z;"";TEKEN(13));</v>
      </c>
    </row>
    <row r="3" spans="1:10" ht="26">
      <c r="A3" t="str">
        <f t="array" aca="1" ref="A3" ca="1">IFERROR(INDEX(Symbols!$M$2:$M$1101,SMALL(IF(ISNUMBER(Symbols!E$2:E$1101),ROW(Symbols!$M$2:$M$1101)-ROW(Symbols!$M$2)+1,""),ROWS(Symbols!$M$2:M3))),"")</f>
        <v>L &amp; \EL \\</v>
      </c>
      <c r="C3" s="38" t="s">
        <v>119</v>
      </c>
      <c r="E3" t="s">
        <v>109</v>
      </c>
      <c r="F3" t="s">
        <v>73</v>
      </c>
      <c r="H3" t="str">
        <f>"ALS("&amp;F3&amp;"=z"&amp;";"""";"&amp;E3&amp;")"&amp;";"</f>
        <v>ALS(A3=z;"";TEKEN(10));</v>
      </c>
    </row>
    <row r="4" spans="1:10">
      <c r="A4" t="str">
        <f t="array" aca="1" ref="A4" ca="1">IFERROR(INDEX(Symbols!$M$2:$M$1101,SMALL(IF(ISNUMBER(Symbols!E$2:E$1101),ROW(Symbols!$M$2:$M$1101)-ROW(Symbols!$M$2)+1,""),ROWS(Symbols!$M$2:M4))),"")</f>
        <v>\mu &amp; \Emu \\</v>
      </c>
      <c r="F4" t="s">
        <v>73</v>
      </c>
      <c r="H4" t="str">
        <f>"ALS("&amp;F4&amp;"=z"&amp;";"""";"&amp;F4&amp;")"&amp;";"</f>
        <v>ALS(A3=z;"";A3);</v>
      </c>
    </row>
    <row r="5" spans="1:10" ht="19" customHeight="1">
      <c r="A5" t="str">
        <f t="array" aca="1" ref="A5" ca="1">IFERROR(INDEX(Symbols!$M$2:$M$1101,SMALL(IF(ISNUMBER(Symbols!E$2:E$1101),ROW(Symbols!$M$2:$M$1101)-ROW(Symbols!$M$2)+1,""),ROWS(Symbols!$M$2:M5))),"")</f>
        <v>\rho_b &amp; \Erhobody \\</v>
      </c>
      <c r="E5" t="s">
        <v>110</v>
      </c>
      <c r="F5" t="s">
        <v>74</v>
      </c>
      <c r="H5" t="str">
        <f>"ALS("&amp;F5&amp;"=z"&amp;";"""";"&amp;E5&amp;")"&amp;";"</f>
        <v>ALS(A4=z;"";TEKEN(13));</v>
      </c>
      <c r="J5" s="10"/>
    </row>
    <row r="6" spans="1:10" ht="15" customHeight="1">
      <c r="A6" t="str">
        <f t="array" aca="1" ref="A6" ca="1">IFERROR(INDEX(Symbols!$M$2:$M$1101,SMALL(IF(ISNUMBER(Symbols!E$2:E$1101),ROW(Symbols!$M$2:$M$1101)-ROW(Symbols!$M$2)+1,""),ROWS(Symbols!$M$2:M6))),"")</f>
        <v>\rho_\ell &amp; \Erholiquid \\</v>
      </c>
      <c r="E6" t="s">
        <v>109</v>
      </c>
      <c r="F6" t="s">
        <v>74</v>
      </c>
      <c r="H6" t="str">
        <f>"ALS("&amp;F6&amp;"=z"&amp;";"""";"&amp;E6&amp;")"&amp;";"</f>
        <v>ALS(A4=z;"";TEKEN(10));</v>
      </c>
      <c r="I6" t="str">
        <f ca="1">INDIRECT("Equations!$C$"&amp;'Code per Equation'!$G$4+1)</f>
        <v>\begin{equation}
\text{Ar} = \frac {{g}{L}^{3}{\rho_\ell}\left({\rho_b}-{\rho_\ell}\right)}{{\mu}^{2}}
\equationunit{[\si{\nodimension}]}
\end{equation}</v>
      </c>
    </row>
    <row r="7" spans="1:10">
      <c r="A7" t="str">
        <f t="array" aca="1" ref="A7" ca="1">IFERROR(INDEX(Symbols!$M$2:$M$1101,SMALL(IF(ISNUMBER(Symbols!E$2:E$1101),ROW(Symbols!$M$2:$M$1101)-ROW(Symbols!$M$2)+1,""),ROWS(Symbols!$M$2:M7))),"")</f>
        <v/>
      </c>
      <c r="F7" t="s">
        <v>74</v>
      </c>
      <c r="H7" t="str">
        <f t="shared" ref="H7" si="0">"ALS("&amp;F7&amp;"=z"&amp;";"""";"&amp;F7&amp;")"&amp;";"</f>
        <v>ALS(A4=z;"";A4);</v>
      </c>
    </row>
    <row r="8" spans="1:10">
      <c r="A8" t="str">
        <f t="array" aca="1" ref="A8" ca="1">IFERROR(INDEX(Symbols!$M$2:$M$1101,SMALL(IF(ISNUMBER(Symbols!E$2:E$1101),ROW(Symbols!$M$2:$M$1101)-ROW(Symbols!$M$2)+1,""),ROWS(Symbols!$M$2:M8))),"")</f>
        <v/>
      </c>
      <c r="E8" t="s">
        <v>110</v>
      </c>
      <c r="F8" t="s">
        <v>75</v>
      </c>
      <c r="H8" t="str">
        <f t="shared" ref="H8:H9" si="1">"ALS("&amp;F8&amp;"=z"&amp;";"""";"&amp;E8&amp;")"&amp;";"</f>
        <v>ALS(A5=z;"";TEKEN(13));</v>
      </c>
      <c r="J8" s="6"/>
    </row>
    <row r="9" spans="1:10">
      <c r="A9" t="str">
        <f t="array" aca="1" ref="A9" ca="1">IFERROR(INDEX(Symbols!$M$2:$M$1101,SMALL(IF(ISNUMBER(Symbols!E$2:E$1101),ROW(Symbols!$M$2:$M$1101)-ROW(Symbols!$M$2)+1,""),ROWS(Symbols!$M$2:M9))),"")</f>
        <v/>
      </c>
      <c r="E9" t="s">
        <v>109</v>
      </c>
      <c r="F9" t="s">
        <v>75</v>
      </c>
      <c r="H9" t="str">
        <f t="shared" si="1"/>
        <v>ALS(A5=z;"";TEKEN(10));</v>
      </c>
    </row>
    <row r="10" spans="1:10">
      <c r="A10" t="str">
        <f t="array" aca="1" ref="A10" ca="1">IFERROR(INDEX(Symbols!$M$2:$M$1101,SMALL(IF(ISNUMBER(Symbols!E$2:E$1101),ROW(Symbols!$M$2:$M$1101)-ROW(Symbols!$M$2)+1,""),ROWS(Symbols!$M$2:M10))),"")</f>
        <v/>
      </c>
      <c r="F10" t="s">
        <v>75</v>
      </c>
      <c r="H10" t="str">
        <f t="shared" ref="H10" si="2">"ALS("&amp;F10&amp;"=z"&amp;";"""";"&amp;F10&amp;")"&amp;";"</f>
        <v>ALS(A5=z;"";A5);</v>
      </c>
      <c r="I10" t="s">
        <v>111</v>
      </c>
    </row>
    <row r="11" spans="1:10">
      <c r="A11" t="str">
        <f t="array" aca="1" ref="A11" ca="1">IFERROR(INDEX(Symbols!$M$2:$M$1101,SMALL(IF(ISNUMBER(Symbols!E$2:E$1101),ROW(Symbols!$M$2:$M$1101)-ROW(Symbols!$M$2)+1,""),ROWS(Symbols!$M$2:M11))),"")</f>
        <v/>
      </c>
      <c r="E11" t="s">
        <v>110</v>
      </c>
      <c r="F11" t="s">
        <v>76</v>
      </c>
      <c r="H11" t="str">
        <f t="shared" ref="H11:H12" si="3">"ALS("&amp;F11&amp;"=z"&amp;";"""";"&amp;E11&amp;")"&amp;";"</f>
        <v>ALS(A6=z;"";TEKEN(13));</v>
      </c>
    </row>
    <row r="12" spans="1:10">
      <c r="A12" t="str">
        <f t="array" aca="1" ref="A12" ca="1">IFERROR(INDEX(Symbols!$M$2:$M$1101,SMALL(IF(ISNUMBER(Symbols!E$2:E$1101),ROW(Symbols!$M$2:$M$1101)-ROW(Symbols!$M$2)+1,""),ROWS(Symbols!$M$2:M12))),"")</f>
        <v/>
      </c>
      <c r="E12" t="s">
        <v>109</v>
      </c>
      <c r="F12" t="s">
        <v>76</v>
      </c>
      <c r="H12" t="str">
        <f t="shared" si="3"/>
        <v>ALS(A6=z;"";TEKEN(10));</v>
      </c>
      <c r="I12" t="s">
        <v>114</v>
      </c>
    </row>
    <row r="13" spans="1:10">
      <c r="A13" t="str">
        <f t="array" aca="1" ref="A13" ca="1">IFERROR(INDEX(Symbols!$M$2:$M$1101,SMALL(IF(ISNUMBER(Symbols!E$2:E$1101),ROW(Symbols!$M$2:$M$1101)-ROW(Symbols!$M$2)+1,""),ROWS(Symbols!$M$2:M13))),"")</f>
        <v/>
      </c>
      <c r="F13" t="s">
        <v>76</v>
      </c>
      <c r="H13" t="str">
        <f t="shared" ref="H13" si="4">"ALS("&amp;F13&amp;"=z"&amp;";"""";"&amp;F13&amp;")"&amp;";"</f>
        <v>ALS(A6=z;"";A6);</v>
      </c>
    </row>
    <row r="14" spans="1:10">
      <c r="A14" t="str">
        <f t="array" aca="1" ref="A14" ca="1">IFERROR(INDEX(Symbols!$M$2:$M$1101,SMALL(IF(ISNUMBER(Symbols!E$2:E$1101),ROW(Symbols!$M$2:$M$1101)-ROW(Symbols!$M$2)+1,""),ROWS(Symbols!$M$2:M14))),"")</f>
        <v/>
      </c>
      <c r="E14" t="s">
        <v>110</v>
      </c>
      <c r="F14" t="s">
        <v>77</v>
      </c>
      <c r="H14" t="str">
        <f t="shared" ref="H14:H15" si="5">"ALS("&amp;F14&amp;"=z"&amp;";"""";"&amp;E14&amp;")"&amp;";"</f>
        <v>ALS(A7=z;"";TEKEN(13));</v>
      </c>
    </row>
    <row r="15" spans="1:10">
      <c r="A15" t="str">
        <f t="array" aca="1" ref="A15" ca="1">IFERROR(INDEX(Symbols!$M$2:$M$1101,SMALL(IF(ISNUMBER(Symbols!E$2:E$1101),ROW(Symbols!$M$2:$M$1101)-ROW(Symbols!$M$2)+1,""),ROWS(Symbols!$M$2:M15))),"")</f>
        <v/>
      </c>
      <c r="E15" t="s">
        <v>109</v>
      </c>
      <c r="F15" t="s">
        <v>77</v>
      </c>
      <c r="H15" t="str">
        <f t="shared" si="5"/>
        <v>ALS(A7=z;"";TEKEN(10));</v>
      </c>
    </row>
    <row r="16" spans="1:10">
      <c r="A16" t="str">
        <f t="array" aca="1" ref="A16" ca="1">IFERROR(INDEX(Symbols!$M$2:$M$1101,SMALL(IF(ISNUMBER(Symbols!E$2:E$1101),ROW(Symbols!$M$2:$M$1101)-ROW(Symbols!$M$2)+1,""),ROWS(Symbols!$M$2:M16))),"")</f>
        <v/>
      </c>
      <c r="F16" t="s">
        <v>77</v>
      </c>
      <c r="H16" t="str">
        <f t="shared" ref="H16" si="6">"ALS("&amp;F16&amp;"=z"&amp;";"""";"&amp;F16&amp;")"&amp;";"</f>
        <v>ALS(A7=z;"";A7);</v>
      </c>
    </row>
    <row r="17" spans="1:8">
      <c r="A17" t="str">
        <f t="array" aca="1" ref="A17" ca="1">IFERROR(INDEX(Symbols!$M$2:$M$1101,SMALL(IF(ISNUMBER(Symbols!E$2:E$1101),ROW(Symbols!$M$2:$M$1101)-ROW(Symbols!$M$2)+1,""),ROWS(Symbols!$M$2:M17))),"")</f>
        <v/>
      </c>
      <c r="E17" t="s">
        <v>110</v>
      </c>
      <c r="F17" t="s">
        <v>78</v>
      </c>
      <c r="H17" t="str">
        <f t="shared" ref="H17:H18" si="7">"ALS("&amp;F17&amp;"=z"&amp;";"""";"&amp;E17&amp;")"&amp;";"</f>
        <v>ALS(A8=z;"";TEKEN(13));</v>
      </c>
    </row>
    <row r="18" spans="1:8">
      <c r="A18" t="str">
        <f t="array" aca="1" ref="A18" ca="1">IFERROR(INDEX(Symbols!$M$2:$M$1101,SMALL(IF(ISNUMBER(Symbols!E$2:E$1101),ROW(Symbols!$M$2:$M$1101)-ROW(Symbols!$M$2)+1,""),ROWS(Symbols!$M$2:M18))),"")</f>
        <v/>
      </c>
      <c r="E18" t="s">
        <v>109</v>
      </c>
      <c r="F18" t="s">
        <v>78</v>
      </c>
      <c r="H18" t="str">
        <f t="shared" si="7"/>
        <v>ALS(A8=z;"";TEKEN(10));</v>
      </c>
    </row>
    <row r="19" spans="1:8">
      <c r="A19" t="str">
        <f t="array" aca="1" ref="A19" ca="1">IFERROR(INDEX(Symbols!$M$2:$M$1101,SMALL(IF(ISNUMBER(Symbols!E$2:E$1101),ROW(Symbols!$M$2:$M$1101)-ROW(Symbols!$M$2)+1,""),ROWS(Symbols!$M$2:M19))),"")</f>
        <v/>
      </c>
      <c r="F19" t="s">
        <v>78</v>
      </c>
      <c r="H19" t="str">
        <f t="shared" ref="H19" si="8">"ALS("&amp;F19&amp;"=z"&amp;";"""";"&amp;F19&amp;")"&amp;";"</f>
        <v>ALS(A8=z;"";A8);</v>
      </c>
    </row>
    <row r="20" spans="1:8">
      <c r="A20" t="str">
        <f t="array" aca="1" ref="A20" ca="1">IFERROR(INDEX(Symbols!$M$2:$M$1101,SMALL(IF(ISNUMBER(Symbols!E$2:E$1101),ROW(Symbols!$M$2:$M$1101)-ROW(Symbols!$M$2)+1,""),ROWS(Symbols!$M$2:M20))),"")</f>
        <v/>
      </c>
      <c r="E20" t="s">
        <v>110</v>
      </c>
      <c r="F20" t="s">
        <v>79</v>
      </c>
      <c r="H20" t="str">
        <f t="shared" ref="H20:H21" si="9">"ALS("&amp;F20&amp;"=z"&amp;";"""";"&amp;E20&amp;")"&amp;";"</f>
        <v>ALS(A9=z;"";TEKEN(13));</v>
      </c>
    </row>
    <row r="21" spans="1:8">
      <c r="A21" t="str">
        <f t="array" aca="1" ref="A21" ca="1">IFERROR(INDEX(Symbols!$M$2:$M$1101,SMALL(IF(ISNUMBER(Symbols!E$2:E$1101),ROW(Symbols!$M$2:$M$1101)-ROW(Symbols!$M$2)+1,""),ROWS(Symbols!$M$2:M21))),"")</f>
        <v/>
      </c>
      <c r="E21" t="s">
        <v>109</v>
      </c>
      <c r="F21" t="s">
        <v>79</v>
      </c>
      <c r="H21" t="str">
        <f t="shared" si="9"/>
        <v>ALS(A9=z;"";TEKEN(10));</v>
      </c>
    </row>
    <row r="22" spans="1:8">
      <c r="A22" t="str">
        <f t="array" aca="1" ref="A22" ca="1">IFERROR(INDEX(Symbols!$M$2:$M$1101,SMALL(IF(ISNUMBER(Symbols!E$2:E$1101),ROW(Symbols!$M$2:$M$1101)-ROW(Symbols!$M$2)+1,""),ROWS(Symbols!$M$2:M22))),"")</f>
        <v/>
      </c>
      <c r="F22" t="s">
        <v>79</v>
      </c>
      <c r="H22" t="str">
        <f t="shared" ref="H22" si="10">"ALS("&amp;F22&amp;"=z"&amp;";"""";"&amp;F22&amp;")"&amp;";"</f>
        <v>ALS(A9=z;"";A9);</v>
      </c>
    </row>
    <row r="23" spans="1:8">
      <c r="A23" t="str">
        <f t="array" aca="1" ref="A23" ca="1">IFERROR(INDEX(Symbols!$M$2:$M$1101,SMALL(IF(ISNUMBER(Symbols!E$2:E$1101),ROW(Symbols!$M$2:$M$1101)-ROW(Symbols!$M$2)+1,""),ROWS(Symbols!$M$2:M23))),"")</f>
        <v/>
      </c>
      <c r="E23" t="s">
        <v>110</v>
      </c>
      <c r="F23" t="s">
        <v>80</v>
      </c>
      <c r="H23" t="str">
        <f t="shared" ref="H23:H24" si="11">"ALS("&amp;F23&amp;"=z"&amp;";"""";"&amp;E23&amp;")"&amp;";"</f>
        <v>ALS(A10=z;"";TEKEN(13));</v>
      </c>
    </row>
    <row r="24" spans="1:8">
      <c r="A24" t="str">
        <f t="array" aca="1" ref="A24" ca="1">IFERROR(INDEX(Symbols!$M$2:$M$1101,SMALL(IF(ISNUMBER(Symbols!E$2:E$1101),ROW(Symbols!$M$2:$M$1101)-ROW(Symbols!$M$2)+1,""),ROWS(Symbols!$M$2:M24))),"")</f>
        <v/>
      </c>
      <c r="E24" t="s">
        <v>109</v>
      </c>
      <c r="F24" t="s">
        <v>80</v>
      </c>
      <c r="H24" t="str">
        <f t="shared" si="11"/>
        <v>ALS(A10=z;"";TEKEN(10));</v>
      </c>
    </row>
    <row r="25" spans="1:8">
      <c r="A25" t="str">
        <f t="array" aca="1" ref="A25" ca="1">IFERROR(INDEX(Symbols!$M$2:$M$1101,SMALL(IF(ISNUMBER(Symbols!E$2:E$1101),ROW(Symbols!$M$2:$M$1101)-ROW(Symbols!$M$2)+1,""),ROWS(Symbols!$M$2:M25))),"")</f>
        <v/>
      </c>
      <c r="F25" t="s">
        <v>80</v>
      </c>
      <c r="H25" t="str">
        <f t="shared" ref="H25" si="12">"ALS("&amp;F25&amp;"=z"&amp;";"""";"&amp;F25&amp;")"&amp;";"</f>
        <v>ALS(A10=z;"";A10);</v>
      </c>
    </row>
    <row r="26" spans="1:8">
      <c r="A26" t="str">
        <f t="array" aca="1" ref="A26" ca="1">IFERROR(INDEX(Symbols!$M$2:$M$1101,SMALL(IF(ISNUMBER(Symbols!E$2:E$1101),ROW(Symbols!$M$2:$M$1101)-ROW(Symbols!$M$2)+1,""),ROWS(Symbols!$M$2:M26))),"")</f>
        <v/>
      </c>
      <c r="E26" t="s">
        <v>110</v>
      </c>
      <c r="F26" t="s">
        <v>81</v>
      </c>
      <c r="H26" t="str">
        <f t="shared" ref="H26:H27" si="13">"ALS("&amp;F26&amp;"=z"&amp;";"""";"&amp;E26&amp;")"&amp;";"</f>
        <v>ALS(A11=z;"";TEKEN(13));</v>
      </c>
    </row>
    <row r="27" spans="1:8">
      <c r="A27" t="str">
        <f t="array" aca="1" ref="A27" ca="1">IFERROR(INDEX(Symbols!$M$2:$M$1101,SMALL(IF(ISNUMBER(Symbols!E$2:E$1101),ROW(Symbols!$M$2:$M$1101)-ROW(Symbols!$M$2)+1,""),ROWS(Symbols!$M$2:M27))),"")</f>
        <v/>
      </c>
      <c r="E27" t="s">
        <v>109</v>
      </c>
      <c r="F27" t="s">
        <v>81</v>
      </c>
      <c r="H27" t="str">
        <f t="shared" si="13"/>
        <v>ALS(A11=z;"";TEKEN(10));</v>
      </c>
    </row>
    <row r="28" spans="1:8">
      <c r="A28" t="str">
        <f t="array" aca="1" ref="A28" ca="1">IFERROR(INDEX(Symbols!$M$2:$M$1101,SMALL(IF(ISNUMBER(Symbols!E$2:E$1101),ROW(Symbols!$M$2:$M$1101)-ROW(Symbols!$M$2)+1,""),ROWS(Symbols!$M$2:M28))),"")</f>
        <v/>
      </c>
      <c r="F28" t="s">
        <v>81</v>
      </c>
      <c r="H28" t="str">
        <f t="shared" ref="H28" si="14">"ALS("&amp;F28&amp;"=z"&amp;";"""";"&amp;F28&amp;")"&amp;";"</f>
        <v>ALS(A11=z;"";A11);</v>
      </c>
    </row>
    <row r="29" spans="1:8">
      <c r="A29" t="str">
        <f t="array" aca="1" ref="A29" ca="1">IFERROR(INDEX(Symbols!$M$2:$M$1101,SMALL(IF(ISNUMBER(Symbols!E$2:E$1101),ROW(Symbols!$M$2:$M$1101)-ROW(Symbols!$M$2)+1,""),ROWS(Symbols!$M$2:M29))),"")</f>
        <v/>
      </c>
      <c r="E29" t="s">
        <v>110</v>
      </c>
      <c r="F29" t="s">
        <v>82</v>
      </c>
      <c r="H29" t="str">
        <f t="shared" ref="H29:H30" si="15">"ALS("&amp;F29&amp;"=z"&amp;";"""";"&amp;E29&amp;")"&amp;";"</f>
        <v>ALS(A12=z;"";TEKEN(13));</v>
      </c>
    </row>
    <row r="30" spans="1:8">
      <c r="A30" t="str">
        <f t="array" aca="1" ref="A30" ca="1">IFERROR(INDEX(Symbols!$M$2:$M$1101,SMALL(IF(ISNUMBER(Symbols!E$2:E$1101),ROW(Symbols!$M$2:$M$1101)-ROW(Symbols!$M$2)+1,""),ROWS(Symbols!$M$2:M30))),"")</f>
        <v/>
      </c>
      <c r="E30" t="s">
        <v>109</v>
      </c>
      <c r="F30" t="s">
        <v>82</v>
      </c>
      <c r="H30" t="str">
        <f t="shared" si="15"/>
        <v>ALS(A12=z;"";TEKEN(10));</v>
      </c>
    </row>
    <row r="31" spans="1:8">
      <c r="A31" t="str">
        <f t="array" aca="1" ref="A31" ca="1">IFERROR(INDEX(Symbols!$M$2:$M$1101,SMALL(IF(ISNUMBER(Symbols!E$2:E$1101),ROW(Symbols!$M$2:$M$1101)-ROW(Symbols!$M$2)+1,""),ROWS(Symbols!$M$2:M31))),"")</f>
        <v/>
      </c>
      <c r="F31" t="s">
        <v>82</v>
      </c>
      <c r="H31" t="str">
        <f t="shared" ref="H31" si="16">"ALS("&amp;F31&amp;"=z"&amp;";"""";"&amp;F31&amp;")"&amp;";"</f>
        <v>ALS(A12=z;"";A12);</v>
      </c>
    </row>
    <row r="32" spans="1:8">
      <c r="A32" t="str">
        <f t="array" aca="1" ref="A32" ca="1">IFERROR(INDEX(Symbols!$M$2:$M$1101,SMALL(IF(ISNUMBER(Symbols!E$2:E$1101),ROW(Symbols!$M$2:$M$1101)-ROW(Symbols!$M$2)+1,""),ROWS(Symbols!$M$2:M32))),"")</f>
        <v/>
      </c>
      <c r="E32" t="s">
        <v>110</v>
      </c>
      <c r="F32" t="s">
        <v>83</v>
      </c>
      <c r="H32" t="str">
        <f t="shared" ref="H32:H33" si="17">"ALS("&amp;F32&amp;"=z"&amp;";"""";"&amp;E32&amp;")"&amp;";"</f>
        <v>ALS(A13=z;"";TEKEN(13));</v>
      </c>
    </row>
    <row r="33" spans="1:8">
      <c r="A33" t="str">
        <f t="array" aca="1" ref="A33" ca="1">IFERROR(INDEX(Symbols!$M$2:$M$1101,SMALL(IF(ISNUMBER(Symbols!E$2:E$1101),ROW(Symbols!$M$2:$M$1101)-ROW(Symbols!$M$2)+1,""),ROWS(Symbols!$M$2:M33))),"")</f>
        <v/>
      </c>
      <c r="E33" t="s">
        <v>109</v>
      </c>
      <c r="F33" t="s">
        <v>83</v>
      </c>
      <c r="H33" t="str">
        <f t="shared" si="17"/>
        <v>ALS(A13=z;"";TEKEN(10));</v>
      </c>
    </row>
    <row r="34" spans="1:8">
      <c r="A34" t="str">
        <f t="array" aca="1" ref="A34" ca="1">IFERROR(INDEX(Symbols!$M$2:$M$1101,SMALL(IF(ISNUMBER(Symbols!E$2:E$1101),ROW(Symbols!$M$2:$M$1101)-ROW(Symbols!$M$2)+1,""),ROWS(Symbols!$M$2:M34))),"")</f>
        <v/>
      </c>
      <c r="F34" t="s">
        <v>83</v>
      </c>
      <c r="H34" t="str">
        <f t="shared" ref="H34" si="18">"ALS("&amp;F34&amp;"=z"&amp;";"""";"&amp;F34&amp;")"&amp;";"</f>
        <v>ALS(A13=z;"";A13);</v>
      </c>
    </row>
    <row r="35" spans="1:8">
      <c r="A35" t="str">
        <f t="array" aca="1" ref="A35" ca="1">IFERROR(INDEX(Symbols!$M$2:$M$1101,SMALL(IF(ISNUMBER(Symbols!E$2:E$1101),ROW(Symbols!$M$2:$M$1101)-ROW(Symbols!$M$2)+1,""),ROWS(Symbols!$M$2:M35))),"")</f>
        <v/>
      </c>
      <c r="E35" t="s">
        <v>110</v>
      </c>
      <c r="F35" t="s">
        <v>84</v>
      </c>
      <c r="H35" t="str">
        <f t="shared" ref="H35:H36" si="19">"ALS("&amp;F35&amp;"=z"&amp;";"""";"&amp;E35&amp;")"&amp;";"</f>
        <v>ALS(A14=z;"";TEKEN(13));</v>
      </c>
    </row>
    <row r="36" spans="1:8">
      <c r="A36" t="str">
        <f t="array" aca="1" ref="A36" ca="1">IFERROR(INDEX(Symbols!$M$2:$M$1101,SMALL(IF(ISNUMBER(Symbols!E$2:E$1101),ROW(Symbols!$M$2:$M$1101)-ROW(Symbols!$M$2)+1,""),ROWS(Symbols!$M$2:M36))),"")</f>
        <v/>
      </c>
      <c r="E36" t="s">
        <v>109</v>
      </c>
      <c r="F36" t="s">
        <v>84</v>
      </c>
      <c r="H36" t="str">
        <f t="shared" si="19"/>
        <v>ALS(A14=z;"";TEKEN(10));</v>
      </c>
    </row>
    <row r="37" spans="1:8">
      <c r="A37" t="str">
        <f t="array" aca="1" ref="A37" ca="1">IFERROR(INDEX(Symbols!$M$2:$M$1101,SMALL(IF(ISNUMBER(Symbols!E$2:E$1101),ROW(Symbols!$M$2:$M$1101)-ROW(Symbols!$M$2)+1,""),ROWS(Symbols!$M$2:M37))),"")</f>
        <v/>
      </c>
      <c r="F37" t="s">
        <v>84</v>
      </c>
      <c r="H37" t="str">
        <f t="shared" ref="H37" si="20">"ALS("&amp;F37&amp;"=z"&amp;";"""";"&amp;F37&amp;")"&amp;";"</f>
        <v>ALS(A14=z;"";A14);</v>
      </c>
    </row>
    <row r="38" spans="1:8">
      <c r="A38" t="str">
        <f t="array" aca="1" ref="A38" ca="1">IFERROR(INDEX(Symbols!$M$2:$M$1101,SMALL(IF(ISNUMBER(Symbols!E$2:E$1101),ROW(Symbols!$M$2:$M$1101)-ROW(Symbols!$M$2)+1,""),ROWS(Symbols!$M$2:M38))),"")</f>
        <v/>
      </c>
      <c r="E38" t="s">
        <v>110</v>
      </c>
      <c r="F38" t="s">
        <v>85</v>
      </c>
      <c r="H38" t="str">
        <f t="shared" ref="H38:H39" si="21">"ALS("&amp;F38&amp;"=z"&amp;";"""";"&amp;E38&amp;")"&amp;";"</f>
        <v>ALS(A15=z;"";TEKEN(13));</v>
      </c>
    </row>
    <row r="39" spans="1:8">
      <c r="A39" t="str">
        <f t="array" aca="1" ref="A39" ca="1">IFERROR(INDEX(Symbols!$M$2:$M$1101,SMALL(IF(ISNUMBER(Symbols!E$2:E$1101),ROW(Symbols!$M$2:$M$1101)-ROW(Symbols!$M$2)+1,""),ROWS(Symbols!$M$2:M39))),"")</f>
        <v/>
      </c>
      <c r="E39" t="s">
        <v>109</v>
      </c>
      <c r="F39" t="s">
        <v>85</v>
      </c>
      <c r="H39" t="str">
        <f t="shared" si="21"/>
        <v>ALS(A15=z;"";TEKEN(10));</v>
      </c>
    </row>
    <row r="40" spans="1:8">
      <c r="A40" t="str">
        <f t="array" aca="1" ref="A40" ca="1">IFERROR(INDEX(Symbols!$M$2:$M$1101,SMALL(IF(ISNUMBER(Symbols!E$2:E$1101),ROW(Symbols!$M$2:$M$1101)-ROW(Symbols!$M$2)+1,""),ROWS(Symbols!$M$2:M40))),"")</f>
        <v/>
      </c>
      <c r="F40" t="s">
        <v>85</v>
      </c>
      <c r="H40" t="str">
        <f t="shared" ref="H40" si="22">"ALS("&amp;F40&amp;"=z"&amp;";"""";"&amp;F40&amp;")"&amp;";"</f>
        <v>ALS(A15=z;"";A15);</v>
      </c>
    </row>
    <row r="41" spans="1:8">
      <c r="A41" t="str">
        <f t="array" aca="1" ref="A41" ca="1">IFERROR(INDEX(Symbols!$M$2:$M$1101,SMALL(IF(ISNUMBER(Symbols!E$2:E$1101),ROW(Symbols!$M$2:$M$1101)-ROW(Symbols!$M$2)+1,""),ROWS(Symbols!$M$2:M41))),"")</f>
        <v/>
      </c>
      <c r="E41" t="s">
        <v>110</v>
      </c>
      <c r="F41" t="s">
        <v>86</v>
      </c>
      <c r="H41" t="str">
        <f t="shared" ref="H41:H42" si="23">"ALS("&amp;F41&amp;"=z"&amp;";"""";"&amp;E41&amp;")"&amp;";"</f>
        <v>ALS(A16=z;"";TEKEN(13));</v>
      </c>
    </row>
    <row r="42" spans="1:8">
      <c r="A42" t="str">
        <f t="array" aca="1" ref="A42" ca="1">IFERROR(INDEX(Symbols!$M$2:$M$1101,SMALL(IF(ISNUMBER(Symbols!E$2:E$1101),ROW(Symbols!$M$2:$M$1101)-ROW(Symbols!$M$2)+1,""),ROWS(Symbols!$M$2:M42))),"")</f>
        <v/>
      </c>
      <c r="E42" t="s">
        <v>109</v>
      </c>
      <c r="F42" t="s">
        <v>86</v>
      </c>
      <c r="H42" t="str">
        <f t="shared" si="23"/>
        <v>ALS(A16=z;"";TEKEN(10));</v>
      </c>
    </row>
    <row r="43" spans="1:8">
      <c r="A43" t="str">
        <f t="array" aca="1" ref="A43" ca="1">IFERROR(INDEX(Symbols!$M$2:$M$1101,SMALL(IF(ISNUMBER(Symbols!E$2:E$1101),ROW(Symbols!$M$2:$M$1101)-ROW(Symbols!$M$2)+1,""),ROWS(Symbols!$M$2:M43))),"")</f>
        <v/>
      </c>
      <c r="F43" t="s">
        <v>86</v>
      </c>
      <c r="H43" t="str">
        <f t="shared" ref="H43" si="24">"ALS("&amp;F43&amp;"=z"&amp;";"""";"&amp;F43&amp;")"&amp;";"</f>
        <v>ALS(A16=z;"";A16);</v>
      </c>
    </row>
    <row r="44" spans="1:8">
      <c r="A44" t="str">
        <f t="array" aca="1" ref="A44" ca="1">IFERROR(INDEX(Symbols!$M$2:$M$1101,SMALL(IF(ISNUMBER(Symbols!E$2:E$1101),ROW(Symbols!$M$2:$M$1101)-ROW(Symbols!$M$2)+1,""),ROWS(Symbols!$M$2:M44))),"")</f>
        <v/>
      </c>
      <c r="E44" t="s">
        <v>110</v>
      </c>
      <c r="F44" t="s">
        <v>87</v>
      </c>
      <c r="H44" t="str">
        <f t="shared" ref="H44:H45" si="25">"ALS("&amp;F44&amp;"=z"&amp;";"""";"&amp;E44&amp;")"&amp;";"</f>
        <v>ALS(A17=z;"";TEKEN(13));</v>
      </c>
    </row>
    <row r="45" spans="1:8">
      <c r="A45" t="str">
        <f t="array" aca="1" ref="A45" ca="1">IFERROR(INDEX(Symbols!$M$2:$M$1101,SMALL(IF(ISNUMBER(Symbols!E$2:E$1101),ROW(Symbols!$M$2:$M$1101)-ROW(Symbols!$M$2)+1,""),ROWS(Symbols!$M$2:M45))),"")</f>
        <v/>
      </c>
      <c r="E45" t="s">
        <v>109</v>
      </c>
      <c r="F45" t="s">
        <v>87</v>
      </c>
      <c r="H45" t="str">
        <f t="shared" si="25"/>
        <v>ALS(A17=z;"";TEKEN(10));</v>
      </c>
    </row>
    <row r="46" spans="1:8">
      <c r="A46" t="str">
        <f t="array" aca="1" ref="A46" ca="1">IFERROR(INDEX(Symbols!$M$2:$M$1101,SMALL(IF(ISNUMBER(Symbols!E$2:E$1101),ROW(Symbols!$M$2:$M$1101)-ROW(Symbols!$M$2)+1,""),ROWS(Symbols!$M$2:M46))),"")</f>
        <v/>
      </c>
      <c r="F46" t="s">
        <v>87</v>
      </c>
      <c r="H46" t="str">
        <f t="shared" ref="H46" si="26">"ALS("&amp;F46&amp;"=z"&amp;";"""";"&amp;F46&amp;")"&amp;";"</f>
        <v>ALS(A17=z;"";A17);</v>
      </c>
    </row>
    <row r="47" spans="1:8">
      <c r="A47" t="str">
        <f t="array" aca="1" ref="A47" ca="1">IFERROR(INDEX(Symbols!$M$2:$M$1101,SMALL(IF(ISNUMBER(Symbols!E$2:E$1101),ROW(Symbols!$M$2:$M$1101)-ROW(Symbols!$M$2)+1,""),ROWS(Symbols!$M$2:M47))),"")</f>
        <v/>
      </c>
      <c r="E47" t="s">
        <v>110</v>
      </c>
      <c r="F47" t="s">
        <v>88</v>
      </c>
      <c r="H47" t="str">
        <f t="shared" ref="H47:H48" si="27">"ALS("&amp;F47&amp;"=z"&amp;";"""";"&amp;E47&amp;")"&amp;";"</f>
        <v>ALS(A18=z;"";TEKEN(13));</v>
      </c>
    </row>
    <row r="48" spans="1:8">
      <c r="A48" t="str">
        <f t="array" aca="1" ref="A48" ca="1">IFERROR(INDEX(Symbols!$M$2:$M$1101,SMALL(IF(ISNUMBER(Symbols!E$2:E$1101),ROW(Symbols!$M$2:$M$1101)-ROW(Symbols!$M$2)+1,""),ROWS(Symbols!$M$2:M48))),"")</f>
        <v/>
      </c>
      <c r="E48" t="s">
        <v>109</v>
      </c>
      <c r="F48" t="s">
        <v>88</v>
      </c>
      <c r="H48" t="str">
        <f t="shared" si="27"/>
        <v>ALS(A18=z;"";TEKEN(10));</v>
      </c>
    </row>
    <row r="49" spans="1:8">
      <c r="A49" t="str">
        <f t="array" aca="1" ref="A49" ca="1">IFERROR(INDEX(Symbols!$M$2:$M$1101,SMALL(IF(ISNUMBER(Symbols!E$2:E$1101),ROW(Symbols!$M$2:$M$1101)-ROW(Symbols!$M$2)+1,""),ROWS(Symbols!$M$2:M49))),"")</f>
        <v/>
      </c>
      <c r="F49" t="s">
        <v>88</v>
      </c>
      <c r="H49" t="str">
        <f t="shared" ref="H49" si="28">"ALS("&amp;F49&amp;"=z"&amp;";"""";"&amp;F49&amp;")"&amp;";"</f>
        <v>ALS(A18=z;"";A18);</v>
      </c>
    </row>
    <row r="50" spans="1:8">
      <c r="A50" t="str">
        <f t="array" aca="1" ref="A50" ca="1">IFERROR(INDEX(Symbols!$M$2:$M$1101,SMALL(IF(ISNUMBER(Symbols!E$2:E$1101),ROW(Symbols!$M$2:$M$1101)-ROW(Symbols!$M$2)+1,""),ROWS(Symbols!$M$2:M50))),"")</f>
        <v/>
      </c>
      <c r="E50" t="s">
        <v>110</v>
      </c>
      <c r="F50" t="s">
        <v>88</v>
      </c>
      <c r="H50" t="str">
        <f t="shared" ref="H50:H51" si="29">"ALS("&amp;F50&amp;"=z"&amp;";"""";"&amp;E50&amp;")"&amp;";"</f>
        <v>ALS(A18=z;"";TEKEN(13));</v>
      </c>
    </row>
    <row r="51" spans="1:8">
      <c r="A51" t="str">
        <f t="array" aca="1" ref="A51" ca="1">IFERROR(INDEX(Symbols!$M$2:$M$1101,SMALL(IF(ISNUMBER(Symbols!E$2:E$1101),ROW(Symbols!$M$2:$M$1101)-ROW(Symbols!$M$2)+1,""),ROWS(Symbols!$M$2:M51))),"")</f>
        <v/>
      </c>
      <c r="E51" t="s">
        <v>109</v>
      </c>
      <c r="F51" t="s">
        <v>88</v>
      </c>
      <c r="H51" t="str">
        <f t="shared" si="29"/>
        <v>ALS(A18=z;"";TEKEN(10));</v>
      </c>
    </row>
    <row r="52" spans="1:8">
      <c r="A52" t="str">
        <f t="array" aca="1" ref="A52" ca="1">IFERROR(INDEX(Symbols!$M$2:$M$1101,SMALL(IF(ISNUMBER(Symbols!E$2:E$1101),ROW(Symbols!$M$2:$M$1101)-ROW(Symbols!$M$2)+1,""),ROWS(Symbols!$M$2:M52))),"")</f>
        <v/>
      </c>
      <c r="F52" t="s">
        <v>88</v>
      </c>
      <c r="H52" t="str">
        <f t="shared" ref="H52" si="30">"ALS("&amp;F52&amp;"=z"&amp;";"""";"&amp;F52&amp;")"&amp;";"</f>
        <v>ALS(A18=z;"";A18);</v>
      </c>
    </row>
    <row r="53" spans="1:8">
      <c r="A53" t="str">
        <f t="array" aca="1" ref="A53" ca="1">IFERROR(INDEX(Symbols!$M$2:$M$1101,SMALL(IF(ISNUMBER(Symbols!E$2:E$1101),ROW(Symbols!$M$2:$M$1101)-ROW(Symbols!$M$2)+1,""),ROWS(Symbols!$M$2:M53))),"")</f>
        <v/>
      </c>
      <c r="E53" t="s">
        <v>110</v>
      </c>
      <c r="F53" t="s">
        <v>88</v>
      </c>
      <c r="H53" t="str">
        <f t="shared" ref="H53:H54" si="31">"ALS("&amp;F53&amp;"=z"&amp;";"""";"&amp;E53&amp;")"&amp;";"</f>
        <v>ALS(A18=z;"";TEKEN(13));</v>
      </c>
    </row>
    <row r="54" spans="1:8">
      <c r="A54" t="str">
        <f t="array" aca="1" ref="A54" ca="1">IFERROR(INDEX(Symbols!$M$2:$M$1101,SMALL(IF(ISNUMBER(Symbols!E$2:E$1101),ROW(Symbols!$M$2:$M$1101)-ROW(Symbols!$M$2)+1,""),ROWS(Symbols!$M$2:M54))),"")</f>
        <v/>
      </c>
      <c r="E54" t="s">
        <v>109</v>
      </c>
      <c r="F54" t="s">
        <v>88</v>
      </c>
      <c r="H54" t="str">
        <f t="shared" si="31"/>
        <v>ALS(A18=z;"";TEKEN(10));</v>
      </c>
    </row>
    <row r="55" spans="1:8">
      <c r="A55" t="str">
        <f t="array" aca="1" ref="A55" ca="1">IFERROR(INDEX(Symbols!$M$2:$M$1101,SMALL(IF(ISNUMBER(Symbols!E$2:E$1101),ROW(Symbols!$M$2:$M$1101)-ROW(Symbols!$M$2)+1,""),ROWS(Symbols!$M$2:M55))),"")</f>
        <v/>
      </c>
      <c r="F55" t="s">
        <v>88</v>
      </c>
      <c r="H55" t="str">
        <f t="shared" ref="H55" si="32">"ALS("&amp;F55&amp;"=z"&amp;";"""";"&amp;F55&amp;")"&amp;";"</f>
        <v>ALS(A18=z;"";A18);</v>
      </c>
    </row>
    <row r="56" spans="1:8">
      <c r="E56" t="s">
        <v>110</v>
      </c>
      <c r="F56" t="s">
        <v>89</v>
      </c>
      <c r="H56" t="str">
        <f t="shared" ref="H56:H57" si="33">"ALS("&amp;F56&amp;"=z"&amp;";"""";"&amp;E56&amp;")"&amp;";"</f>
        <v>ALS(A21=z;"";TEKEN(13));</v>
      </c>
    </row>
    <row r="57" spans="1:8">
      <c r="E57" t="s">
        <v>109</v>
      </c>
      <c r="F57" t="s">
        <v>89</v>
      </c>
      <c r="H57" t="str">
        <f t="shared" si="33"/>
        <v>ALS(A21=z;"";TEKEN(10));</v>
      </c>
    </row>
    <row r="58" spans="1:8">
      <c r="F58" t="s">
        <v>89</v>
      </c>
      <c r="H58" t="str">
        <f t="shared" ref="H58" si="34">"ALS("&amp;F58&amp;"=z"&amp;";"""";"&amp;F58&amp;")"&amp;";"</f>
        <v>ALS(A21=z;"";A21);</v>
      </c>
    </row>
    <row r="59" spans="1:8">
      <c r="E59" t="s">
        <v>110</v>
      </c>
      <c r="F59" t="s">
        <v>90</v>
      </c>
      <c r="H59" t="str">
        <f t="shared" ref="H59:H60" si="35">"ALS("&amp;F59&amp;"=z"&amp;";"""";"&amp;E59&amp;")"&amp;";"</f>
        <v>ALS(A22=z;"";TEKEN(13));</v>
      </c>
    </row>
    <row r="60" spans="1:8">
      <c r="E60" t="s">
        <v>109</v>
      </c>
      <c r="F60" t="s">
        <v>90</v>
      </c>
      <c r="H60" t="str">
        <f t="shared" si="35"/>
        <v>ALS(A22=z;"";TEKEN(10));</v>
      </c>
    </row>
    <row r="61" spans="1:8">
      <c r="F61" t="s">
        <v>90</v>
      </c>
      <c r="H61" t="str">
        <f t="shared" ref="H61" si="36">"ALS("&amp;F61&amp;"=z"&amp;";"""";"&amp;F61&amp;")"&amp;";"</f>
        <v>ALS(A22=z;"";A22);</v>
      </c>
    </row>
    <row r="62" spans="1:8">
      <c r="E62" t="s">
        <v>110</v>
      </c>
      <c r="F62" t="s">
        <v>91</v>
      </c>
      <c r="H62" t="str">
        <f t="shared" ref="H62:H63" si="37">"ALS("&amp;F62&amp;"=z"&amp;";"""";"&amp;E62&amp;")"&amp;";"</f>
        <v>ALS(A23=z;"";TEKEN(13));</v>
      </c>
    </row>
    <row r="63" spans="1:8">
      <c r="E63" t="s">
        <v>109</v>
      </c>
      <c r="F63" t="s">
        <v>91</v>
      </c>
      <c r="H63" t="str">
        <f t="shared" si="37"/>
        <v>ALS(A23=z;"";TEKEN(10));</v>
      </c>
    </row>
    <row r="64" spans="1:8">
      <c r="F64" t="s">
        <v>91</v>
      </c>
      <c r="H64" t="str">
        <f t="shared" ref="H64" si="38">"ALS("&amp;F64&amp;"=z"&amp;";"""";"&amp;F64&amp;")"&amp;";"</f>
        <v>ALS(A23=z;"";A23);</v>
      </c>
    </row>
    <row r="65" spans="5:8">
      <c r="E65" t="s">
        <v>110</v>
      </c>
      <c r="F65" t="s">
        <v>92</v>
      </c>
      <c r="H65" t="str">
        <f t="shared" ref="H65:H66" si="39">"ALS("&amp;F65&amp;"=z"&amp;";"""";"&amp;E65&amp;")"&amp;";"</f>
        <v>ALS(A24=z;"";TEKEN(13));</v>
      </c>
    </row>
    <row r="66" spans="5:8">
      <c r="E66" t="s">
        <v>109</v>
      </c>
      <c r="F66" t="s">
        <v>92</v>
      </c>
      <c r="H66" t="str">
        <f t="shared" si="39"/>
        <v>ALS(A24=z;"";TEKEN(10));</v>
      </c>
    </row>
    <row r="67" spans="5:8">
      <c r="F67" t="s">
        <v>92</v>
      </c>
      <c r="H67" t="str">
        <f t="shared" ref="H67" si="40">"ALS("&amp;F67&amp;"=z"&amp;";"""";"&amp;F67&amp;")"&amp;";"</f>
        <v>ALS(A24=z;"";A24);</v>
      </c>
    </row>
    <row r="68" spans="5:8">
      <c r="E68" t="s">
        <v>110</v>
      </c>
      <c r="F68" t="s">
        <v>93</v>
      </c>
      <c r="H68" t="str">
        <f t="shared" ref="H68:H69" si="41">"ALS("&amp;F68&amp;"=z"&amp;";"""";"&amp;E68&amp;")"&amp;";"</f>
        <v>ALS(A25=z;"";TEKEN(13));</v>
      </c>
    </row>
    <row r="69" spans="5:8">
      <c r="E69" t="s">
        <v>109</v>
      </c>
      <c r="F69" t="s">
        <v>93</v>
      </c>
      <c r="H69" t="str">
        <f t="shared" si="41"/>
        <v>ALS(A25=z;"";TEKEN(10));</v>
      </c>
    </row>
    <row r="70" spans="5:8">
      <c r="F70" t="s">
        <v>93</v>
      </c>
      <c r="H70" t="str">
        <f t="shared" ref="H70" si="42">"ALS("&amp;F70&amp;"=z"&amp;";"""";"&amp;F70&amp;")"&amp;";"</f>
        <v>ALS(A25=z;"";A25);</v>
      </c>
    </row>
    <row r="71" spans="5:8">
      <c r="E71" t="s">
        <v>110</v>
      </c>
      <c r="F71" t="s">
        <v>94</v>
      </c>
      <c r="H71" t="str">
        <f t="shared" ref="H71:H72" si="43">"ALS("&amp;F71&amp;"=z"&amp;";"""";"&amp;E71&amp;")"&amp;";"</f>
        <v>ALS(A26=z;"";TEKEN(13));</v>
      </c>
    </row>
    <row r="72" spans="5:8">
      <c r="E72" t="s">
        <v>109</v>
      </c>
      <c r="F72" t="s">
        <v>94</v>
      </c>
      <c r="H72" t="str">
        <f t="shared" si="43"/>
        <v>ALS(A26=z;"";TEKEN(10));</v>
      </c>
    </row>
    <row r="73" spans="5:8">
      <c r="F73" t="s">
        <v>94</v>
      </c>
      <c r="H73" t="str">
        <f t="shared" ref="H73" si="44">"ALS("&amp;F73&amp;"=z"&amp;";"""";"&amp;F73&amp;")"&amp;";"</f>
        <v>ALS(A26=z;"";A26);</v>
      </c>
    </row>
    <row r="74" spans="5:8">
      <c r="E74" t="s">
        <v>110</v>
      </c>
      <c r="F74" t="s">
        <v>95</v>
      </c>
      <c r="H74" t="str">
        <f t="shared" ref="H74:H75" si="45">"ALS("&amp;F74&amp;"=z"&amp;";"""";"&amp;E74&amp;")"&amp;";"</f>
        <v>ALS(A27=z;"";TEKEN(13));</v>
      </c>
    </row>
    <row r="75" spans="5:8">
      <c r="E75" t="s">
        <v>109</v>
      </c>
      <c r="F75" t="s">
        <v>95</v>
      </c>
      <c r="H75" t="str">
        <f t="shared" si="45"/>
        <v>ALS(A27=z;"";TEKEN(10));</v>
      </c>
    </row>
    <row r="76" spans="5:8">
      <c r="F76" t="s">
        <v>95</v>
      </c>
      <c r="H76" t="str">
        <f t="shared" ref="H76" si="46">"ALS("&amp;F76&amp;"=z"&amp;";"""";"&amp;F76&amp;")"&amp;";"</f>
        <v>ALS(A27=z;"";A27);</v>
      </c>
    </row>
    <row r="77" spans="5:8">
      <c r="E77" t="s">
        <v>110</v>
      </c>
      <c r="F77" t="s">
        <v>96</v>
      </c>
      <c r="H77" t="str">
        <f t="shared" ref="H77:H78" si="47">"ALS("&amp;F77&amp;"=z"&amp;";"""";"&amp;E77&amp;")"&amp;";"</f>
        <v>ALS(A28=z;"";TEKEN(13));</v>
      </c>
    </row>
    <row r="78" spans="5:8">
      <c r="E78" t="s">
        <v>109</v>
      </c>
      <c r="F78" t="s">
        <v>96</v>
      </c>
      <c r="H78" t="str">
        <f t="shared" si="47"/>
        <v>ALS(A28=z;"";TEKEN(10));</v>
      </c>
    </row>
    <row r="79" spans="5:8">
      <c r="F79" t="s">
        <v>96</v>
      </c>
      <c r="H79" t="str">
        <f t="shared" ref="H79" si="48">"ALS("&amp;F79&amp;"=z"&amp;";"""";"&amp;F79&amp;")"&amp;";"</f>
        <v>ALS(A28=z;"";A28);</v>
      </c>
    </row>
    <row r="80" spans="5:8">
      <c r="E80" t="s">
        <v>110</v>
      </c>
      <c r="F80" t="s">
        <v>97</v>
      </c>
      <c r="H80" t="str">
        <f t="shared" ref="H80:H81" si="49">"ALS("&amp;F80&amp;"=z"&amp;";"""";"&amp;E80&amp;")"&amp;";"</f>
        <v>ALS(A29=z;"";TEKEN(13));</v>
      </c>
    </row>
    <row r="81" spans="5:8">
      <c r="E81" t="s">
        <v>109</v>
      </c>
      <c r="F81" t="s">
        <v>97</v>
      </c>
      <c r="H81" t="str">
        <f t="shared" si="49"/>
        <v>ALS(A29=z;"";TEKEN(10));</v>
      </c>
    </row>
    <row r="82" spans="5:8">
      <c r="F82" t="s">
        <v>97</v>
      </c>
      <c r="H82" t="str">
        <f t="shared" ref="H82" si="50">"ALS("&amp;F82&amp;"=z"&amp;";"""";"&amp;F82&amp;")"&amp;";"</f>
        <v>ALS(A29=z;"";A29);</v>
      </c>
    </row>
    <row r="83" spans="5:8">
      <c r="E83" t="s">
        <v>110</v>
      </c>
      <c r="F83" t="s">
        <v>98</v>
      </c>
      <c r="H83" t="str">
        <f t="shared" ref="H83:H84" si="51">"ALS("&amp;F83&amp;"=z"&amp;";"""";"&amp;E83&amp;")"&amp;";"</f>
        <v>ALS(A30=z;"";TEKEN(13));</v>
      </c>
    </row>
    <row r="84" spans="5:8">
      <c r="E84" t="s">
        <v>109</v>
      </c>
      <c r="F84" t="s">
        <v>98</v>
      </c>
      <c r="H84" t="str">
        <f t="shared" si="51"/>
        <v>ALS(A30=z;"";TEKEN(10));</v>
      </c>
    </row>
    <row r="85" spans="5:8">
      <c r="F85" t="s">
        <v>98</v>
      </c>
      <c r="H85" t="str">
        <f t="shared" ref="H85" si="52">"ALS("&amp;F85&amp;"=z"&amp;";"""";"&amp;F85&amp;")"&amp;";"</f>
        <v>ALS(A30=z;"";A30);</v>
      </c>
    </row>
    <row r="86" spans="5:8">
      <c r="E86" t="s">
        <v>110</v>
      </c>
      <c r="F86" t="s">
        <v>99</v>
      </c>
      <c r="H86" t="str">
        <f t="shared" ref="H86:H87" si="53">"ALS("&amp;F86&amp;"=z"&amp;";"""";"&amp;E86&amp;")"&amp;";"</f>
        <v>ALS(A31=z;"";TEKEN(13));</v>
      </c>
    </row>
    <row r="87" spans="5:8">
      <c r="E87" t="s">
        <v>109</v>
      </c>
      <c r="F87" t="s">
        <v>99</v>
      </c>
      <c r="H87" t="str">
        <f t="shared" si="53"/>
        <v>ALS(A31=z;"";TEKEN(10));</v>
      </c>
    </row>
    <row r="88" spans="5:8">
      <c r="F88" t="s">
        <v>99</v>
      </c>
      <c r="H88" t="str">
        <f t="shared" ref="H88" si="54">"ALS("&amp;F88&amp;"=z"&amp;";"""";"&amp;F88&amp;")"&amp;";"</f>
        <v>ALS(A31=z;"";A31);</v>
      </c>
    </row>
    <row r="89" spans="5:8">
      <c r="E89" t="s">
        <v>110</v>
      </c>
      <c r="F89" t="s">
        <v>100</v>
      </c>
      <c r="H89" t="str">
        <f t="shared" ref="H89:H90" si="55">"ALS("&amp;F89&amp;"=z"&amp;";"""";"&amp;E89&amp;")"&amp;";"</f>
        <v>ALS(A32=z;"";TEKEN(13));</v>
      </c>
    </row>
    <row r="90" spans="5:8">
      <c r="E90" t="s">
        <v>109</v>
      </c>
      <c r="F90" t="s">
        <v>100</v>
      </c>
      <c r="H90" t="str">
        <f t="shared" si="55"/>
        <v>ALS(A32=z;"";TEKEN(10));</v>
      </c>
    </row>
    <row r="91" spans="5:8">
      <c r="F91" t="s">
        <v>100</v>
      </c>
      <c r="H91" t="str">
        <f t="shared" ref="H91" si="56">"ALS("&amp;F91&amp;"=z"&amp;";"""";"&amp;F91&amp;")"&amp;";"</f>
        <v>ALS(A32=z;"";A32);</v>
      </c>
    </row>
    <row r="92" spans="5:8">
      <c r="E92" t="s">
        <v>110</v>
      </c>
      <c r="F92" t="s">
        <v>101</v>
      </c>
      <c r="H92" t="str">
        <f t="shared" ref="H92:H93" si="57">"ALS("&amp;F92&amp;"=z"&amp;";"""";"&amp;E92&amp;")"&amp;";"</f>
        <v>ALS(A33=z;"";TEKEN(13));</v>
      </c>
    </row>
    <row r="93" spans="5:8">
      <c r="E93" t="s">
        <v>109</v>
      </c>
      <c r="F93" t="s">
        <v>101</v>
      </c>
      <c r="H93" t="str">
        <f t="shared" si="57"/>
        <v>ALS(A33=z;"";TEKEN(10));</v>
      </c>
    </row>
    <row r="94" spans="5:8">
      <c r="F94" t="s">
        <v>101</v>
      </c>
      <c r="H94" t="str">
        <f t="shared" ref="H94" si="58">"ALS("&amp;F94&amp;"=z"&amp;";"""";"&amp;F94&amp;")"&amp;";"</f>
        <v>ALS(A33=z;"";A33);</v>
      </c>
    </row>
    <row r="95" spans="5:8">
      <c r="E95" t="s">
        <v>110</v>
      </c>
      <c r="F95" t="s">
        <v>102</v>
      </c>
      <c r="H95" t="str">
        <f t="shared" ref="H95:H96" si="59">"ALS("&amp;F95&amp;"=z"&amp;";"""";"&amp;E95&amp;")"&amp;";"</f>
        <v>ALS(A34=z;"";TEKEN(13));</v>
      </c>
    </row>
    <row r="96" spans="5:8">
      <c r="E96" t="s">
        <v>109</v>
      </c>
      <c r="F96" t="s">
        <v>102</v>
      </c>
      <c r="H96" t="str">
        <f t="shared" si="59"/>
        <v>ALS(A34=z;"";TEKEN(10));</v>
      </c>
    </row>
    <row r="97" spans="5:8">
      <c r="F97" t="s">
        <v>102</v>
      </c>
      <c r="H97" t="str">
        <f t="shared" ref="H97" si="60">"ALS("&amp;F97&amp;"=z"&amp;";"""";"&amp;F97&amp;")"&amp;";"</f>
        <v>ALS(A34=z;"";A34);</v>
      </c>
    </row>
    <row r="98" spans="5:8">
      <c r="E98" t="s">
        <v>110</v>
      </c>
      <c r="F98" t="s">
        <v>103</v>
      </c>
      <c r="H98" t="str">
        <f t="shared" ref="H98:H99" si="61">"ALS("&amp;F98&amp;"=z"&amp;";"""";"&amp;E98&amp;")"&amp;";"</f>
        <v>ALS(A35=z;"";TEKEN(13));</v>
      </c>
    </row>
    <row r="99" spans="5:8">
      <c r="E99" t="s">
        <v>109</v>
      </c>
      <c r="F99" t="s">
        <v>103</v>
      </c>
      <c r="H99" t="str">
        <f t="shared" si="61"/>
        <v>ALS(A35=z;"";TEKEN(10));</v>
      </c>
    </row>
    <row r="100" spans="5:8">
      <c r="F100" t="s">
        <v>103</v>
      </c>
      <c r="H100" t="str">
        <f t="shared" ref="H100" si="62">"ALS("&amp;F100&amp;"=z"&amp;";"""";"&amp;F100&amp;")"&amp;";"</f>
        <v>ALS(A35=z;"";A35);</v>
      </c>
    </row>
    <row r="101" spans="5:8">
      <c r="E101" t="s">
        <v>110</v>
      </c>
      <c r="F101" t="s">
        <v>104</v>
      </c>
      <c r="H101" t="str">
        <f t="shared" ref="H101:H102" si="63">"ALS("&amp;F101&amp;"=z"&amp;";"""";"&amp;E101&amp;")"&amp;";"</f>
        <v>ALS(A36=z;"";TEKEN(13));</v>
      </c>
    </row>
    <row r="102" spans="5:8">
      <c r="E102" t="s">
        <v>109</v>
      </c>
      <c r="F102" t="s">
        <v>104</v>
      </c>
      <c r="H102" t="str">
        <f t="shared" si="63"/>
        <v>ALS(A36=z;"";TEKEN(10));</v>
      </c>
    </row>
    <row r="103" spans="5:8">
      <c r="F103" t="s">
        <v>104</v>
      </c>
      <c r="H103" t="str">
        <f t="shared" ref="H103" si="64">"ALS("&amp;F103&amp;"=z"&amp;";"""";"&amp;F103&amp;")"&amp;";"</f>
        <v>ALS(A36=z;"";A36);</v>
      </c>
    </row>
    <row r="104" spans="5:8">
      <c r="E104" t="s">
        <v>110</v>
      </c>
      <c r="F104" t="s">
        <v>105</v>
      </c>
      <c r="H104" t="str">
        <f t="shared" ref="H104:H105" si="65">"ALS("&amp;F104&amp;"=z"&amp;";"""";"&amp;E104&amp;")"&amp;";"</f>
        <v>ALS(A37=z;"";TEKEN(13));</v>
      </c>
    </row>
    <row r="105" spans="5:8">
      <c r="E105" t="s">
        <v>109</v>
      </c>
      <c r="F105" t="s">
        <v>105</v>
      </c>
      <c r="H105" t="str">
        <f t="shared" si="65"/>
        <v>ALS(A37=z;"";TEKEN(10));</v>
      </c>
    </row>
    <row r="106" spans="5:8">
      <c r="F106" t="s">
        <v>105</v>
      </c>
      <c r="H106" t="str">
        <f t="shared" ref="H106" si="66">"ALS("&amp;F106&amp;"=z"&amp;";"""";"&amp;F106&amp;")"&amp;";"</f>
        <v>ALS(A37=z;"";A37);</v>
      </c>
    </row>
    <row r="107" spans="5:8">
      <c r="E107" t="s">
        <v>110</v>
      </c>
      <c r="F107" t="s">
        <v>106</v>
      </c>
      <c r="H107" t="str">
        <f t="shared" ref="H107:H108" si="67">"ALS("&amp;F107&amp;"=z"&amp;";"""";"&amp;E107&amp;")"&amp;";"</f>
        <v>ALS(A38=z;"";TEKEN(13));</v>
      </c>
    </row>
    <row r="108" spans="5:8">
      <c r="E108" t="s">
        <v>109</v>
      </c>
      <c r="F108" t="s">
        <v>106</v>
      </c>
      <c r="H108" t="str">
        <f t="shared" si="67"/>
        <v>ALS(A38=z;"";TEKEN(10));</v>
      </c>
    </row>
    <row r="109" spans="5:8">
      <c r="F109" t="s">
        <v>106</v>
      </c>
      <c r="H109" t="str">
        <f t="shared" ref="H109" si="68">"ALS("&amp;F109&amp;"=z"&amp;";"""";"&amp;F109&amp;")"&amp;";"</f>
        <v>ALS(A38=z;"";A38);</v>
      </c>
    </row>
    <row r="110" spans="5:8">
      <c r="E110" t="s">
        <v>110</v>
      </c>
      <c r="F110" t="s">
        <v>107</v>
      </c>
      <c r="H110" t="str">
        <f t="shared" ref="H110:H111" si="69">"ALS("&amp;F110&amp;"=z"&amp;";"""";"&amp;E110&amp;")"&amp;";"</f>
        <v>ALS(A39=z;"";TEKEN(13));</v>
      </c>
    </row>
    <row r="111" spans="5:8">
      <c r="E111" t="s">
        <v>109</v>
      </c>
      <c r="F111" t="s">
        <v>107</v>
      </c>
      <c r="H111" t="str">
        <f t="shared" si="69"/>
        <v>ALS(A39=z;"";TEKEN(10));</v>
      </c>
    </row>
    <row r="112" spans="5:8">
      <c r="F112" t="s">
        <v>107</v>
      </c>
      <c r="H112" t="str">
        <f t="shared" ref="H112" si="70">"ALS("&amp;F112&amp;"=z"&amp;";"""";"&amp;F112&amp;")"&amp;";"</f>
        <v>ALS(A39=z;"";A39);</v>
      </c>
    </row>
    <row r="113" spans="5:8">
      <c r="E113" t="s">
        <v>110</v>
      </c>
      <c r="F113" t="s">
        <v>108</v>
      </c>
      <c r="H113" t="str">
        <f t="shared" ref="H113:H114" si="71">"ALS("&amp;F113&amp;"=z"&amp;";"""";"&amp;E113&amp;")"&amp;";"</f>
        <v>ALS(A40=z;"";TEKEN(13));</v>
      </c>
    </row>
    <row r="114" spans="5:8">
      <c r="E114" t="s">
        <v>109</v>
      </c>
      <c r="F114" t="s">
        <v>108</v>
      </c>
      <c r="H114" t="str">
        <f t="shared" si="71"/>
        <v>ALS(A40=z;"";TEKEN(10));</v>
      </c>
    </row>
    <row r="115" spans="5:8">
      <c r="F115" t="s">
        <v>108</v>
      </c>
      <c r="H115" t="str">
        <f t="shared" ref="H115" si="72">"ALS("&amp;F115&amp;"=z"&amp;";"""";"&amp;F115&amp;")"&amp;";"</f>
        <v>ALS(A40=z;"";A40);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Werkbladen</vt:lpstr>
      </vt:variant>
      <vt:variant>
        <vt:i4>7</vt:i4>
      </vt:variant>
      <vt:variant>
        <vt:lpstr>Benoemde bereiken</vt:lpstr>
      </vt:variant>
      <vt:variant>
        <vt:i4>2</vt:i4>
      </vt:variant>
    </vt:vector>
  </HeadingPairs>
  <TitlesOfParts>
    <vt:vector size="9" baseType="lpstr">
      <vt:lpstr>Introduction</vt:lpstr>
      <vt:lpstr>Units</vt:lpstr>
      <vt:lpstr>Symbols</vt:lpstr>
      <vt:lpstr>Equations</vt:lpstr>
      <vt:lpstr>To copy to preamble</vt:lpstr>
      <vt:lpstr>Code per Equation</vt:lpstr>
      <vt:lpstr>StepinBetween</vt:lpstr>
      <vt:lpstr>array</vt:lpstr>
      <vt:lpstr>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Office-gebruiker</dc:creator>
  <cp:lastModifiedBy>Microsoft Office-gebruiker</cp:lastModifiedBy>
  <dcterms:created xsi:type="dcterms:W3CDTF">2018-08-24T09:08:12Z</dcterms:created>
  <dcterms:modified xsi:type="dcterms:W3CDTF">2020-01-06T11:58:46Z</dcterms:modified>
</cp:coreProperties>
</file>